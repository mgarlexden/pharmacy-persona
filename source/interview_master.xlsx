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etterkim/Downloads/"/>
    </mc:Choice>
  </mc:AlternateContent>
  <xr:revisionPtr revIDLastSave="0" documentId="13_ncr:1_{C8774FA6-308A-2A48-9641-89517841F77F}" xr6:coauthVersionLast="47" xr6:coauthVersionMax="47" xr10:uidLastSave="{00000000-0000-0000-0000-000000000000}"/>
  <bookViews>
    <workbookView xWindow="-20" yWindow="780" windowWidth="38980" windowHeight="21360" xr2:uid="{00000000-000D-0000-FFFF-FFFF00000000}"/>
  </bookViews>
  <sheets>
    <sheet name="00_읽는순서" sheetId="1" r:id="rId1"/>
    <sheet name="01_근거대장" sheetId="2" r:id="rId2"/>
    <sheet name="02_변수사전" sheetId="3" r:id="rId3"/>
    <sheet name="03_규칙대장" sheetId="4" r:id="rId4"/>
    <sheet name="04_사건학습" sheetId="5" r:id="rId5"/>
    <sheet name="05_관계참고" sheetId="6" r:id="rId6"/>
    <sheet name="06_페르소나정리" sheetId="7" r:id="rId7"/>
    <sheet name="07_질문연결" sheetId="8" r:id="rId8"/>
    <sheet name="08_상황입력" sheetId="9" r:id="rId9"/>
    <sheet name="09_데이터연계" sheetId="10" r:id="rId10"/>
    <sheet name="10_활용예시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G6" i="1"/>
  <c r="E6" i="1"/>
  <c r="C6" i="1"/>
  <c r="A6" i="1"/>
</calcChain>
</file>

<file path=xl/sharedStrings.xml><?xml version="1.0" encoding="utf-8"?>
<sst xmlns="http://schemas.openxmlformats.org/spreadsheetml/2006/main" count="2471" uniqueCount="2038">
  <si>
    <t>약국 페르소나 | 인터뷰 기반 속성·변수 정리</t>
  </si>
  <si>
    <t>속성·변수</t>
  </si>
  <si>
    <t>원문·보완 근거</t>
  </si>
  <si>
    <t>판단규칙</t>
  </si>
  <si>
    <t>사례 기록</t>
  </si>
  <si>
    <t>먼저 읽을 시트</t>
  </si>
  <si>
    <t>01</t>
  </si>
  <si>
    <t>06_페르소나정리</t>
  </si>
  <si>
    <t>현재 인터뷰 대상과 운영자의 판단 방식을 먼저 읽는다.</t>
  </si>
  <si>
    <t>02</t>
  </si>
  <si>
    <t>02_변수사전</t>
  </si>
  <si>
    <t>필요한 범주를 필터로 고르고 항목별 내용·활용·근거를 확인한다.</t>
  </si>
  <si>
    <t>03</t>
  </si>
  <si>
    <t>03_규칙대장 / 04_사건학습</t>
  </si>
  <si>
    <t>판단 기준이 나온 상황과 실제 결과·계획을 확인한다.</t>
  </si>
  <si>
    <t>04</t>
  </si>
  <si>
    <t>01_근거대장</t>
  </si>
  <si>
    <t>E·U 코드로 찾으면 원문 발췌와 원문 줄번호를 볼 수 있다.</t>
  </si>
  <si>
    <t>05</t>
  </si>
  <si>
    <t>08_상황입력</t>
  </si>
  <si>
    <t>수량·금액 계산을 하기로 정한 경우 필요한 입력만 선택한다.</t>
  </si>
  <si>
    <t>여섯 범주</t>
  </si>
  <si>
    <t>1 고정 속성</t>
  </si>
  <si>
    <t>층수·운영 단계·경험·주변 의료기관·접근성과 운영 중심</t>
  </si>
  <si>
    <t>2 구조적 제약</t>
  </si>
  <si>
    <t>매입·반품·공간·권한·교육·상담·기록 등 운영에 걸리는 조건</t>
  </si>
  <si>
    <t>3 내부 동적 상태</t>
  </si>
  <si>
    <t>재고 확인·판매 반응·진열·혼잡·미완료업무·장비 등 현재 상태</t>
  </si>
  <si>
    <t>4 외부 환경·트리거</t>
  </si>
  <si>
    <t>의원 일정·유행·공급·고객 도착·기존 동선 등 바깥 변화</t>
  </si>
  <si>
    <t>5 판단규칙</t>
  </si>
  <si>
    <t>무엇을 먼저 확인하고 어떤 목표·조건을 고려하는지</t>
  </si>
  <si>
    <t>6 결과·학습</t>
  </si>
  <si>
    <t>예상과 실제·관심과 구매·과거 경험·계획·인식 변화</t>
  </si>
  <si>
    <t>자료를 읽는 기준</t>
  </si>
  <si>
    <t>기록 범위</t>
  </si>
  <si>
    <t>현재 약국 / 과거 근무 경험 / 다른 약국 관찰 / 응답자의 의견·제안 반응을 나눠 읽는다.</t>
  </si>
  <si>
    <t>값의 의미</t>
  </si>
  <si>
    <t>현재 칸에는 원문으로 파악한 내용이 들어 있다. 정성적 설명을 수치처럼 취급하지 않는다.</t>
  </si>
  <si>
    <t>참고 시트</t>
  </si>
  <si>
    <t>05_관계참고, 07_질문연결, 09_데이터연계, 10_활용예시는 논의에 필요할 때 활용한다.</t>
  </si>
  <si>
    <t>자료 출처</t>
  </si>
  <si>
    <t>I0: 제공된 원문 전사 / U1: 약사 2인 운영 보완 / H0: 원래 인터뷰 설계 HTML / 기존 팀 리서치</t>
  </si>
  <si>
    <t>코드</t>
  </si>
  <si>
    <t>E·U=근거 / P·C·S·X·D·L=변수 / R=규칙 / I=사례 / T=상황 입력. 기존 코드 유지로 중간 번호가 비어 있다.</t>
  </si>
  <si>
    <t>공유 범위</t>
  </si>
  <si>
    <t>운영 분석에 필요한 발언을 사용했으며 개인 사담과 인터뷰이 실명은 제외했다.</t>
  </si>
  <si>
    <t>인터뷰 근거대장</t>
  </si>
  <si>
    <t>원문에서 필요한 발언을 발췌했다. 발언 맥락과 적용 대상은 따로 적었으며, 줄번호는 제공된 전사문 기준이다.</t>
  </si>
  <si>
    <t>근거 ID</t>
  </si>
  <si>
    <t>주제</t>
  </si>
  <si>
    <t>적용 대상</t>
  </si>
  <si>
    <t>기록 성격</t>
  </si>
  <si>
    <t>원문 발췌</t>
  </si>
  <si>
    <t>정리한 내용</t>
  </si>
  <si>
    <t>연결 항목</t>
  </si>
  <si>
    <t>출처 위치</t>
  </si>
  <si>
    <t>E001</t>
  </si>
  <si>
    <t>개업 시점</t>
  </si>
  <si>
    <t>현재 약국</t>
  </si>
  <si>
    <t>자기보고</t>
  </si>
  <si>
    <t>지금 한 삼 주</t>
  </si>
  <si>
    <t>P002</t>
  </si>
  <si>
    <t>I0 | 원문 129행</t>
  </si>
  <si>
    <t>E002</t>
  </si>
  <si>
    <t>입지·동일 건물 진료과</t>
  </si>
  <si>
    <t>일층에는 정형외과가 있고 이층에는 이비인후과가</t>
  </si>
  <si>
    <t>약국은 2층이며 1층 정형외과·같은 층 이비인후과가 언급된다.</t>
  </si>
  <si>
    <t>P001,P010,P011,P012</t>
  </si>
  <si>
    <t>I0 | 원문 105행</t>
  </si>
  <si>
    <t>E003</t>
  </si>
  <si>
    <t>동반 개원</t>
  </si>
  <si>
    <t>이비인후과도 신규로 삼 주 전을 … 열어가지고</t>
  </si>
  <si>
    <t>같은 층 이비인후과도 신규 개원 상태.</t>
  </si>
  <si>
    <t>P012,X002</t>
  </si>
  <si>
    <t>I0 | 원문 141, 153행</t>
  </si>
  <si>
    <t>E004</t>
  </si>
  <si>
    <t>기존 정형외과</t>
  </si>
  <si>
    <t>올해 초에 열었어서 조금 더 된</t>
  </si>
  <si>
    <t>정형외과에는 약국 개업 전부터 이용하던 환자가 있다.</t>
  </si>
  <si>
    <t>P012</t>
  </si>
  <si>
    <t>I0 | 원문 165행</t>
  </si>
  <si>
    <t>E005</t>
  </si>
  <si>
    <t>개국 준비 범위</t>
  </si>
  <si>
    <t>행동 회고</t>
  </si>
  <si>
    <t>일반 약 세팅이랑 전문약 … 처음부터 끝까지 다 준비를</t>
  </si>
  <si>
    <t>일반약·전문약 및 물품·인테리어 준비에 직접 관여했다.</t>
  </si>
  <si>
    <t>P006,I01</t>
  </si>
  <si>
    <t>I0 | 원문 189행</t>
  </si>
  <si>
    <t>E006</t>
  </si>
  <si>
    <t>상품 후보 비교</t>
  </si>
  <si>
    <t>가격도 비교를 하고 디자인도 비교를 하고 성분도 비교를</t>
  </si>
  <si>
    <t>사이트·제약사 목록에서 가격·디자인·성분을 비교해 상품을 골랐다.</t>
  </si>
  <si>
    <t>X010,D007,R05,I01</t>
  </si>
  <si>
    <t>I0 | 원문 309행</t>
  </si>
  <si>
    <t>E007</t>
  </si>
  <si>
    <t>과거 경험 활용</t>
  </si>
  <si>
    <t>현재 약국＋과거 경험</t>
  </si>
  <si>
    <t>근무했던 약국에서 사람들이 어떤 거를 선호를 했는지를</t>
  </si>
  <si>
    <t>과거 근무처의 고객 선호 기억을 현재 초도 상품 선정에 참고했다.</t>
  </si>
  <si>
    <t>P008,D007,R05,I01</t>
  </si>
  <si>
    <t>I0 | 원문 369행</t>
  </si>
  <si>
    <t>E008</t>
  </si>
  <si>
    <t>가격·마진 고려</t>
  </si>
  <si>
    <t>판단 설명</t>
  </si>
  <si>
    <t>마진도 생각하고 너무 … 비싼 걸 팔 순 없잖아</t>
  </si>
  <si>
    <t>상품 선정 시 마진과 판매가격 부담을 함께 고려한다.</t>
  </si>
  <si>
    <t>S023,D003,D007,R05,I01</t>
  </si>
  <si>
    <t>I0 | 원문 393, 405행</t>
  </si>
  <si>
    <t>E009</t>
  </si>
  <si>
    <t>진료과 연계 구색</t>
  </si>
  <si>
    <t>파스 같은 것도 많이 … 준비하고</t>
  </si>
  <si>
    <t>정형외과 수요를 예상해 파스류를 준비했다.</t>
  </si>
  <si>
    <t>P010,S016,D007,R06,I01</t>
  </si>
  <si>
    <t>I0 | 원문 441, 453행</t>
  </si>
  <si>
    <t>E010</t>
  </si>
  <si>
    <t>일반약 구색 전략</t>
  </si>
  <si>
    <t>온 김에 뭐 하나 집어가는 그런 거를 하나라도 팔자</t>
  </si>
  <si>
    <t>2층 입지를 고려해 처방 방문자의 추가 구매를 염두에 두었다.</t>
  </si>
  <si>
    <t>P018,S016,D007,R06,I01</t>
  </si>
  <si>
    <t>I0 | 원문 489행</t>
  </si>
  <si>
    <t>E011</t>
  </si>
  <si>
    <t>영양제 초도 구성</t>
  </si>
  <si>
    <t>영양제를 엄청 살 것 같진 않아서 그래서 영양제는 많이 안</t>
  </si>
  <si>
    <t>영양제는 많이 들이지 않았다.</t>
  </si>
  <si>
    <t>S016,R06,I01</t>
  </si>
  <si>
    <t>E012</t>
  </si>
  <si>
    <t>워크인 관찰</t>
  </si>
  <si>
    <t>진짜 몇 … 안 돼</t>
  </si>
  <si>
    <t>처방 외 구매만을 위해 들어오는 방문자는 드물다고 설명한다.</t>
  </si>
  <si>
    <t>P020,R06</t>
  </si>
  <si>
    <t>I0 | 원문 513, 525행</t>
  </si>
  <si>
    <t>E013</t>
  </si>
  <si>
    <t>접근성</t>
  </si>
  <si>
    <t>2층까지 올라와 입구가 들어오기 … 힘든데</t>
  </si>
  <si>
    <t>층수와 입구 찾기 어려움을 방문 제약으로 인식한다.</t>
  </si>
  <si>
    <t>P001,P014</t>
  </si>
  <si>
    <t>I0 | 원문 573, 585행</t>
  </si>
  <si>
    <t>E014</t>
  </si>
  <si>
    <t>건물 내 치과</t>
  </si>
  <si>
    <t>운영 설명</t>
  </si>
  <si>
    <t>교정전문 … 치과기 때문에</t>
  </si>
  <si>
    <t>정형외과·이비인후과 외에 교정 중심 치과가 같은 건물에 있다고 설명한다.</t>
  </si>
  <si>
    <t>P011</t>
  </si>
  <si>
    <t>I0 | 원문 657, 669행</t>
  </si>
  <si>
    <t>E015</t>
  </si>
  <si>
    <t>학생 수요 예상</t>
  </si>
  <si>
    <t>행동·결과 회고</t>
  </si>
  <si>
    <t>청소년 타겟으로 한 제품들이 생각보다 안 나갔고</t>
  </si>
  <si>
    <t>주변 학교·학원가를 보고 기대한 청소년 상품 수요가 실판매 체감과 달랐다.</t>
  </si>
  <si>
    <t>P015,X011,L001,L009,I02</t>
  </si>
  <si>
    <t>I0 | 원문 885행</t>
  </si>
  <si>
    <t>E016</t>
  </si>
  <si>
    <t>상품 수요 차이</t>
  </si>
  <si>
    <t>결과 회고</t>
  </si>
  <si>
    <t>소화제 같은 거 잘 안 … 사갖고</t>
  </si>
  <si>
    <t>소화제는 기대보다 덜 팔리고, 감기약은 팔린다는 대비 설명.</t>
  </si>
  <si>
    <t>S007,I02</t>
  </si>
  <si>
    <t>I0 | 원문 885, 897행</t>
  </si>
  <si>
    <t>E017</t>
  </si>
  <si>
    <t>정형외과 유입 예상 차이</t>
  </si>
  <si>
    <t>생각보다 많이 안 올라와</t>
  </si>
  <si>
    <t>같은 건물 정형외과에서 유입될 것으로 기대한 환자가 생각보다 적었다.</t>
  </si>
  <si>
    <t>P010,L002,L009,I03</t>
  </si>
  <si>
    <t>I0 | 원문 933행</t>
  </si>
  <si>
    <t>E018</t>
  </si>
  <si>
    <t>기존 이용 동선</t>
  </si>
  <si>
    <t>원래 다니던 사람들도 그냥 옆건물로 가던가</t>
  </si>
  <si>
    <t>기존 약국 이용 습관과 접근성으로 유입 차이를 설명한다.</t>
  </si>
  <si>
    <t>X012,L002,I03</t>
  </si>
  <si>
    <t>I0 | 원문 945행</t>
  </si>
  <si>
    <t>E019</t>
  </si>
  <si>
    <t>후문·엘리베이터</t>
  </si>
  <si>
    <t>후문으로 나오자마자 엘베를 타면 … 바로거든</t>
  </si>
  <si>
    <t>가까운 이동 경로가 있지만 방문자가 잘 모를 수 있다고 설명한다.</t>
  </si>
  <si>
    <t>P013,P014,L002,I03</t>
  </si>
  <si>
    <t>I0 | 원문 981, 993행</t>
  </si>
  <si>
    <t>E020</t>
  </si>
  <si>
    <t>특정 약국 안내 인식</t>
  </si>
  <si>
    <t>제도에 대한 인식</t>
  </si>
  <si>
    <t>병원에서 약국을 지정해주는 건 불법이기 때문에</t>
  </si>
  <si>
    <t>의료기관의 안내에 제한이 있다고 인식한다.</t>
  </si>
  <si>
    <t>C018,I03</t>
  </si>
  <si>
    <t>I0 | 원문 1041행</t>
  </si>
  <si>
    <t>E021</t>
  </si>
  <si>
    <t>의료기관 직원 고객</t>
  </si>
  <si>
    <t>직원들이 한 20명 … 되거든 … 한두 씩은 … 와</t>
  </si>
  <si>
    <t>인근 의료기관 직원이 점심시간에 구매하러 오는 사례.</t>
  </si>
  <si>
    <t>운영·비교 배경</t>
  </si>
  <si>
    <t>I0 | 원문 1053, 1065, 1077, 1089행</t>
  </si>
  <si>
    <t>E022</t>
  </si>
  <si>
    <t>영업 인지도</t>
  </si>
  <si>
    <t>매일 한다는 걸 좀 잘 모를 수도 있어서</t>
  </si>
  <si>
    <t>입구 안내 및 매일 영업한다는 사실의 인지가 필요하다고 본다.</t>
  </si>
  <si>
    <t>P016</t>
  </si>
  <si>
    <t>I0 | 원문 1089행</t>
  </si>
  <si>
    <t>E023</t>
  </si>
  <si>
    <t>기존 이비인후과 대기</t>
  </si>
  <si>
    <t>주변 의료기관</t>
  </si>
  <si>
    <t>전언</t>
  </si>
  <si>
    <t>대기가 기온 1시간이래</t>
  </si>
  <si>
    <t>기존 이비인후과 대기가 길다는 말을 들었다.</t>
  </si>
  <si>
    <t>X004,I04</t>
  </si>
  <si>
    <t>I0 | 원문 1125행</t>
  </si>
  <si>
    <t>E024</t>
  </si>
  <si>
    <t>신규 의원 인지도</t>
  </si>
  <si>
    <t>현재 약국·인접 의원</t>
  </si>
  <si>
    <t>검색해서 오는 사람들만 오는</t>
  </si>
  <si>
    <t>신규 의원의 인지도가 낮아 검색 유입이 중심이라는 체감.</t>
  </si>
  <si>
    <t>E025</t>
  </si>
  <si>
    <t>휴진과 수요</t>
  </si>
  <si>
    <t>반복 상황 회고</t>
  </si>
  <si>
    <t>그 병원이 문을 닫는 날에 유난히 우리 병원이 사람 많아</t>
  </si>
  <si>
    <t>인근 기존 이비인후과 휴진일에 같은 건물 신규 의원이 붐빈다고 설명한다.</t>
  </si>
  <si>
    <t>X003,R08,I04</t>
  </si>
  <si>
    <t>I0 | 원문 1137행</t>
  </si>
  <si>
    <t>E026</t>
  </si>
  <si>
    <t>주말·공휴일 운영</t>
  </si>
  <si>
    <t>매일매일 주말까지 하기 때문에 … 쉬는 날 사람이 많아</t>
  </si>
  <si>
    <t>주말·공휴일 운영과 수요 집중을 설명한다.</t>
  </si>
  <si>
    <t>P016,X001,X002,R08,I04</t>
  </si>
  <si>
    <t>I0 | 원문 1137, 1149행</t>
  </si>
  <si>
    <t>E027</t>
  </si>
  <si>
    <t>수요 변동</t>
  </si>
  <si>
    <t>갑자기 생각보다 안 올 때도 있고</t>
  </si>
  <si>
    <t>개업 초기 수요가 많고 적은 날을 안정적으로 예측하기 어렵다.</t>
  </si>
  <si>
    <t>R08</t>
  </si>
  <si>
    <t>I0 | 원문 1173행</t>
  </si>
  <si>
    <t>E028</t>
  </si>
  <si>
    <t>사전 재고부족 알림</t>
  </si>
  <si>
    <t>사용 기능 설명</t>
  </si>
  <si>
    <t>그런 거 없어</t>
  </si>
  <si>
    <t>현재 사용하는 전산에는 질문한 사전 재고부족 알림이 없다고 답했다.</t>
  </si>
  <si>
    <t>S001,I05</t>
  </si>
  <si>
    <t>I0 | 원문 1233행</t>
  </si>
  <si>
    <t>E029</t>
  </si>
  <si>
    <t>잔여 기간 판단</t>
  </si>
  <si>
    <t>오늘까진 버티는데 내 일은 못 버티겠네</t>
  </si>
  <si>
    <t>남은 약으로 오늘/내일 수요를 감당할지 약사가 판단한다.</t>
  </si>
  <si>
    <t>S008,D006,R02,I05</t>
  </si>
  <si>
    <t>I0 | 원문 1245행</t>
  </si>
  <si>
    <t>E030</t>
  </si>
  <si>
    <t>실물 조회 우선</t>
  </si>
  <si>
    <t>행동 설명</t>
  </si>
  <si>
    <t>장소로 보는 게 더 빨라</t>
  </si>
  <si>
    <t>전산 조회가 가능하지만 자주 나가는 약은 보관 장소를 눈으로 확인하는 편이 빠르다고 설명한다.</t>
  </si>
  <si>
    <t>S001,S002,D005,R01,I05</t>
  </si>
  <si>
    <t>I0 | 원문 1305행</t>
  </si>
  <si>
    <t>E031</t>
  </si>
  <si>
    <t>품목 규모와 집중</t>
  </si>
  <si>
    <t>약이 지금 몇 100가지가 … 넘는데 … 자주 쓰는 건 정해져 있거든</t>
  </si>
  <si>
    <t>품목은 수백 가지이며 자주 쓰는 품목은 일부로 집중된다.</t>
  </si>
  <si>
    <t>S002,S005,D005,R01,I05</t>
  </si>
  <si>
    <t>I0 | 원문 1317, 1329행</t>
  </si>
  <si>
    <t>E032</t>
  </si>
  <si>
    <t>품절 근접 경험</t>
  </si>
  <si>
    <t>사례 회고</t>
  </si>
  <si>
    <t>아슬아슬하게 그런 적이 있지</t>
  </si>
  <si>
    <t>재고가 부족해질 뻔한 경험이 있다.</t>
  </si>
  <si>
    <t>D001,L006,I05</t>
  </si>
  <si>
    <t>I0 | 원문 1341행</t>
  </si>
  <si>
    <t>E033</t>
  </si>
  <si>
    <t>외부 공급 품절</t>
  </si>
  <si>
    <t>업계·가정 사례</t>
  </si>
  <si>
    <t>설명·가정</t>
  </si>
  <si>
    <t>갑자기 … 독감 약이 싹 … 품절이인 거야</t>
  </si>
  <si>
    <t>유행기에는 주문처 자체가 품절되어 보충이 막힐 수 있다고 설명한다.</t>
  </si>
  <si>
    <t>X005,X006,D001,I06</t>
  </si>
  <si>
    <t>I0 | 원문 1173, 1401, 1413행</t>
  </si>
  <si>
    <t>E034</t>
  </si>
  <si>
    <t>초기 현금 부담</t>
  </si>
  <si>
    <t>제약 설명</t>
  </si>
  <si>
    <t>지금 수익도 안 났는데 지금 약값을 그렇게 무한정 그렇게 할 수가 … 없잖아</t>
  </si>
  <si>
    <t>개업 초기 약품 구매대금 증가와 현금 부담을 우려한다.</t>
  </si>
  <si>
    <t>C001,C002,S011,D002,D016,R03,I06</t>
  </si>
  <si>
    <t>I0 | 원문 1449, 1461행</t>
  </si>
  <si>
    <t>E035</t>
  </si>
  <si>
    <t>유효기간·공간</t>
  </si>
  <si>
    <t>현재 약국·일반 조건</t>
  </si>
  <si>
    <t>유통기한이 있어 … 공간도 부족해</t>
  </si>
  <si>
    <t>의약품 보유에는 유효기간과 보관 공간 제약이 있다.</t>
  </si>
  <si>
    <t>C006,C008,R03,I06</t>
  </si>
  <si>
    <t>I0 | 원문 1497, 1725행</t>
  </si>
  <si>
    <t>E036</t>
  </si>
  <si>
    <t>높은 회전과 재고</t>
  </si>
  <si>
    <t>다른 운영형 비교</t>
  </si>
  <si>
    <t>회전율이 높으면은 그만큼 쌓아놔도 … 몇 달 안에 다 나가는 양이니까</t>
  </si>
  <si>
    <t>판매가 안정적이고 회전이 높을 때와 신규 약국의 재고 판단을 비교한다.</t>
  </si>
  <si>
    <t>R03,I06</t>
  </si>
  <si>
    <t>I0 | 원문 1521행</t>
  </si>
  <si>
    <t>E037</t>
  </si>
  <si>
    <t>수요 이력 부족</t>
  </si>
  <si>
    <t>우리는 아직 예측이 안 되잖아 … 데이터가 안 쌓였잖아</t>
  </si>
  <si>
    <t>현재 약국에는 충분한 운영 이력이 없다.</t>
  </si>
  <si>
    <t>R02,R03</t>
  </si>
  <si>
    <t>I0 | 원문 1521, 1533행</t>
  </si>
  <si>
    <t>E038</t>
  </si>
  <si>
    <t>반품 조건</t>
  </si>
  <si>
    <t>거래 관행 설명</t>
  </si>
  <si>
    <t>조건·예시</t>
  </si>
  <si>
    <t>80% 정도 밖에 뭐 반품을 안 해준다던가</t>
  </si>
  <si>
    <t>임박품 미반품·반품 거절·부분 환급 등 다양한 조건을 언급한다.</t>
  </si>
  <si>
    <t>C003,C005,D002,R04,I06</t>
  </si>
  <si>
    <t>I0 | 원문 1593행</t>
  </si>
  <si>
    <t>E039</t>
  </si>
  <si>
    <t>코로나 키트 장기재고</t>
  </si>
  <si>
    <t>과거 근무 약국</t>
  </si>
  <si>
    <t>그 이후에 코로나 기트를 엄청 사놨어 … 살 일이 없는 거야</t>
  </si>
  <si>
    <t>과거 근무처의 유행 이후 키트 재고 잔류 사례.</t>
  </si>
  <si>
    <t>L007,I07</t>
  </si>
  <si>
    <t>I0 | 원문 1617행</t>
  </si>
  <si>
    <t>E040</t>
  </si>
  <si>
    <t>코로나 키트 문의</t>
  </si>
  <si>
    <t>문의 빈도 설명</t>
  </si>
  <si>
    <t>하루 한 … 번씩</t>
  </si>
  <si>
    <t>인터뷰어가 현 약국에서 문의 고객을 본 경험을 말하자 하루 한 번 정도 찾는다고 답했다.</t>
  </si>
  <si>
    <t>I07</t>
  </si>
  <si>
    <t>I0 | 원문 1653, 1665행</t>
  </si>
  <si>
    <t>E041</t>
  </si>
  <si>
    <t>재고 금액 인식</t>
  </si>
  <si>
    <t>업계 일반</t>
  </si>
  <si>
    <t>의견</t>
  </si>
  <si>
    <t>그 결제 비용이 엄청나</t>
  </si>
  <si>
    <t>환자 결제액과 재고 매입 부담이 다르다고 인식한다.</t>
  </si>
  <si>
    <t>I0 | 원문 1713행</t>
  </si>
  <si>
    <t>E042</t>
  </si>
  <si>
    <t>재고 정확도 저하</t>
  </si>
  <si>
    <t>현재와 장기운영 비교</t>
  </si>
  <si>
    <t>이게 누적되면은 … 엄청나 그냥 안 맞아</t>
  </si>
  <si>
    <t>시간이 지나며 전산과 실물 재고 오차가 누적될 수 있다고 설명한다.</t>
  </si>
  <si>
    <t>C014,S001,S004</t>
  </si>
  <si>
    <t>I0 | 원문 1761, 1773행</t>
  </si>
  <si>
    <t>E043</t>
  </si>
  <si>
    <t>출고기록 부담</t>
  </si>
  <si>
    <t>현재·업계 경험</t>
  </si>
  <si>
    <t>원인 설명</t>
  </si>
  <si>
    <t>나갈 때마다 그걸 체크를 하기가 힘들거든</t>
  </si>
  <si>
    <t>모든 재고 이동을 정확히 입력하기 어려운 점을 원인으로 든다.</t>
  </si>
  <si>
    <t>C014</t>
  </si>
  <si>
    <t>I0 | 원문 1785행</t>
  </si>
  <si>
    <t>E044</t>
  </si>
  <si>
    <t>대체조제 제약 인식</t>
  </si>
  <si>
    <t>같은 약이라고 국가에서 인증한 것만 바꿔줄 수가 … 있어</t>
  </si>
  <si>
    <t>대체조제에는 제약과 확인 절차가 있다는 설명.</t>
  </si>
  <si>
    <t>C009</t>
  </si>
  <si>
    <t>I0 | 원문 1893, 1905행</t>
  </si>
  <si>
    <t>E045</t>
  </si>
  <si>
    <t>인력 공백 대응</t>
  </si>
  <si>
    <t>현재 약국·가정 상황</t>
  </si>
  <si>
    <t>가정 응답</t>
  </si>
  <si>
    <t>친구한테 도와달라고 해야지</t>
  </si>
  <si>
    <t>보조가 필요할 때 경험 있는 지인에게 도움을 요청하는 방안을 말한다.</t>
  </si>
  <si>
    <t>C010,X014,R15,R16</t>
  </si>
  <si>
    <t>I0 | 원문 2133행</t>
  </si>
  <si>
    <t>E046</t>
  </si>
  <si>
    <t>신규 보조 교육</t>
  </si>
  <si>
    <t>경험 설명</t>
  </si>
  <si>
    <t>처음부터 A2G 다 알려줘야 돼</t>
  </si>
  <si>
    <t>짧게라도 경험한 보조자와 완전 초보자의 교육 부담이 다르다.</t>
  </si>
  <si>
    <t>C010,R15</t>
  </si>
  <si>
    <t>I0 | 원문 2193행</t>
  </si>
  <si>
    <t>E047</t>
  </si>
  <si>
    <t>경고창·호출</t>
  </si>
  <si>
    <t>인터뷰어 경험</t>
  </si>
  <si>
    <t>한 세 번에 한 번은 결국엔 불러야 되더라고</t>
  </si>
  <si>
    <t>인터뷰어는 경고창 때문에 약사 확인을 자주 요청한 경험을 설명한다.</t>
  </si>
  <si>
    <t>R15,I08</t>
  </si>
  <si>
    <t>I0 | 원문 2247행</t>
  </si>
  <si>
    <t>E048</t>
  </si>
  <si>
    <t>경고 확인의 역할</t>
  </si>
  <si>
    <t>역할 설명</t>
  </si>
  <si>
    <t>불편한데 그게 약사의 역할이야.</t>
  </si>
  <si>
    <t>인터뷰어의 경고창 확인 부담에 대해 불편하지만 약사의 역할이라고 답했다.</t>
  </si>
  <si>
    <t>C009,D010,R15,I08</t>
  </si>
  <si>
    <t>I0 | 원문 2265행</t>
  </si>
  <si>
    <t>E049</t>
  </si>
  <si>
    <t>진열 재구성</t>
  </si>
  <si>
    <t>그 오늘 진열 싹 다시 … 했어</t>
  </si>
  <si>
    <t>카테고리와 주력 상품을 고려해 진열을 바꿨다.</t>
  </si>
  <si>
    <t>S017,R07,I09</t>
  </si>
  <si>
    <t>I0 | 원문 2289, 2301행</t>
  </si>
  <si>
    <t>E050</t>
  </si>
  <si>
    <t>어린이 칫솔 위치 변경</t>
  </si>
  <si>
    <t>계산대 아래 … 제일 아래 … 애기들 칫솔을 놨거든</t>
  </si>
  <si>
    <t>구석에 있던 캐릭터 칫솔을 계산대 하단으로 옮겼다.</t>
  </si>
  <si>
    <t>S017,L003,R07,I09</t>
  </si>
  <si>
    <t>I0 | 원문 2397, 2409행</t>
  </si>
  <si>
    <t>E051</t>
  </si>
  <si>
    <t>관심과 구매 분리</t>
  </si>
  <si>
    <t>걔 결국은 안 사긴 … 했는데</t>
  </si>
  <si>
    <t>아이가 관심을 강하게 보였으나 그 사례에서는 구매하지 않았다.</t>
  </si>
  <si>
    <t>L003,L004,L009,R07,I09</t>
  </si>
  <si>
    <t>I0 | 원문 2445, 2457행</t>
  </si>
  <si>
    <t>E052</t>
  </si>
  <si>
    <t>보호자 부담 인식</t>
  </si>
  <si>
    <t>의견·가정</t>
  </si>
  <si>
    <t>엄마가 나 같으면 … 안 가</t>
  </si>
  <si>
    <t>아이에게 보호자 구매를 조르게 하는 접근이 재방문에 불리할 수 있다고 본다.</t>
  </si>
  <si>
    <t>D004,I09</t>
  </si>
  <si>
    <t>I0 | 원문 2481, 2493행</t>
  </si>
  <si>
    <t>E053</t>
  </si>
  <si>
    <t>안마봉 판매</t>
  </si>
  <si>
    <t>안마봉 그거 다 팔렸어 … 만지졌거리다가</t>
  </si>
  <si>
    <t>소파에서 만져보던 안마봉이 전부 팔렸다는 사례.</t>
  </si>
  <si>
    <t>S017,L005,R07,I10</t>
  </si>
  <si>
    <t>I0 | 원문 2565, 2577행</t>
  </si>
  <si>
    <t>E054</t>
  </si>
  <si>
    <t>구매자 정보 미기록</t>
  </si>
  <si>
    <t>그건 이제 우리가 눈으로 … 보면서 보는 거지</t>
  </si>
  <si>
    <t>일반상품 구매자 특성은 관찰로 파악하며 매번 나이 등을 묻지 않는다.</t>
  </si>
  <si>
    <t>C017</t>
  </si>
  <si>
    <t>I0 | 원문 2637, 2649행</t>
  </si>
  <si>
    <t>E055</t>
  </si>
  <si>
    <t>처방과 일반약 구매 연결</t>
  </si>
  <si>
    <t>기능 자기보고</t>
  </si>
  <si>
    <t>그런 건 저장이 안 … 돼</t>
  </si>
  <si>
    <t>처방 방문자의 일반약 동시구매 이력이 자동 연결되지 않는다고 답한다.</t>
  </si>
  <si>
    <t>S022</t>
  </si>
  <si>
    <t>I0 | 원문 2733, 2745행</t>
  </si>
  <si>
    <t>E056</t>
  </si>
  <si>
    <t>수기 기록의 조건</t>
  </si>
  <si>
    <t>본인 운영 방식</t>
  </si>
  <si>
    <t>그걸 해서 얻는 게 있으면은 적는 거지</t>
  </si>
  <si>
    <t>기록 부담 자체보다 기록으로 얻는 효용을 기준으로 수기 기록 여부를 본다.</t>
  </si>
  <si>
    <t>C017,D008,R09,I11</t>
  </si>
  <si>
    <t>I0 | 원문 2853행</t>
  </si>
  <si>
    <t>E057</t>
  </si>
  <si>
    <t>단골 구매 메모</t>
  </si>
  <si>
    <t>응답자의 운영 방식</t>
  </si>
  <si>
    <t>업무 설명</t>
  </si>
  <si>
    <t>저번에 먹었던 거 주세요 하면은 뭔지 기억이 안 … 나니까</t>
  </si>
  <si>
    <t>다음에 같은 제품을 찾는 단골 상담을 위해 영양제 구매 내용을 적는다고 설명한다.</t>
  </si>
  <si>
    <t>S022,D008,R09,R10,I11</t>
  </si>
  <si>
    <t>I0 | 원문 2877, 2889행</t>
  </si>
  <si>
    <t>E058</t>
  </si>
  <si>
    <t>전산 메모 입력</t>
  </si>
  <si>
    <t>응답자의 전산 사용 설명</t>
  </si>
  <si>
    <t>거기 외모 이런 데다가 이 사람 뭐 사갔음</t>
  </si>
  <si>
    <t>처방전으로 고객 정보를 연 뒤 구매 내용을 메모하는 방식을 설명한다.</t>
  </si>
  <si>
    <t>R09,I11</t>
  </si>
  <si>
    <t>I0 | 원문 2901행</t>
  </si>
  <si>
    <t>E059</t>
  </si>
  <si>
    <t>전산 공급자</t>
  </si>
  <si>
    <t>그거 유료야 유로 유로 그냥 … 사립 그냥 업체야</t>
  </si>
  <si>
    <t>민간 유료 전산 프로그램을 쓴다는 답변.</t>
  </si>
  <si>
    <t>P022</t>
  </si>
  <si>
    <t>I0 | 원문 2973, 2985행</t>
  </si>
  <si>
    <t>E060</t>
  </si>
  <si>
    <t>자동 상담기록 제안</t>
  </si>
  <si>
    <t>인터뷰어 아이디어</t>
  </si>
  <si>
    <t>솔루션 제안</t>
  </si>
  <si>
    <t>메모를 자동으로 남겨 주는 거지 대화 … 내용으로만</t>
  </si>
  <si>
    <t>인터뷰어가 음성으로 자동 상담 메모를 제안했다.</t>
  </si>
  <si>
    <t>C013,R13,I12</t>
  </si>
  <si>
    <t>I0 | 원문 3039, 3051행</t>
  </si>
  <si>
    <t>E061</t>
  </si>
  <si>
    <t>자동 수집 거부 조건</t>
  </si>
  <si>
    <t>본인 의견</t>
  </si>
  <si>
    <t>거부·제약 설명</t>
  </si>
  <si>
    <t>내가 원하는 게 아니잖아 자동으로 수집을 하는 거잖아</t>
  </si>
  <si>
    <t>건강 대화의 비동의 자동 수집·외부 이용·보관에 우려를 밝혔다.</t>
  </si>
  <si>
    <t>I0 | 원문 3177행</t>
  </si>
  <si>
    <t>E062</t>
  </si>
  <si>
    <t>기록 동의 의견</t>
  </si>
  <si>
    <t>조건 설명</t>
  </si>
  <si>
    <t>어쨌든 동의 얻어야 되지 않을까</t>
  </si>
  <si>
    <t>다음 상담을 돕는 목적을 설명하고 동의를 받는 방식은 고려할 수 있다는 의견.</t>
  </si>
  <si>
    <t>I0 | 원문 3369행</t>
  </si>
  <si>
    <t>E063</t>
  </si>
  <si>
    <t>기존 전산 분석력</t>
  </si>
  <si>
    <t>현재·과거 시스템 비교</t>
  </si>
  <si>
    <t>평가</t>
  </si>
  <si>
    <t>분석력이나 이런 건 좀 … 떨어지고</t>
  </si>
  <si>
    <t>기본 기능은 있으나 분석력은 부족하다고 느낀다.</t>
  </si>
  <si>
    <t>I0 | 원문 3633, 3645행</t>
  </si>
  <si>
    <t>E064</t>
  </si>
  <si>
    <t>거래처 분산</t>
  </si>
  <si>
    <t>현재·일반 운영</t>
  </si>
  <si>
    <t>설명</t>
  </si>
  <si>
    <t>거래처가 너무 많아</t>
  </si>
  <si>
    <t>여러 거래처에 분산된 공급 정보를 한눈에 보기 어렵다는 설명.</t>
  </si>
  <si>
    <t>C015,X006</t>
  </si>
  <si>
    <t>I0 | 원문 3561행</t>
  </si>
  <si>
    <t>E065</t>
  </si>
  <si>
    <t>고객 랭킹 효용</t>
  </si>
  <si>
    <t>현재 운영 관점</t>
  </si>
  <si>
    <t>반박·판단 설명</t>
  </si>
  <si>
    <t>어떤 충복이 많이 팔렸는가 이런 게 중요하지</t>
  </si>
  <si>
    <t>개별 방문 순위보다 어떤 품목이 팔리는지가 더 중요하다는 답.</t>
  </si>
  <si>
    <t>D009,R10,I13</t>
  </si>
  <si>
    <t>I0 | 원문 3669행</t>
  </si>
  <si>
    <t>E066</t>
  </si>
  <si>
    <t>다중 사용 맥락</t>
  </si>
  <si>
    <t>약품·상품 일반</t>
  </si>
  <si>
    <t>설명·예시</t>
  </si>
  <si>
    <t>한 종류에만 쓰이는 게 아니고 여러 카테고리 … 쓰이거든</t>
  </si>
  <si>
    <t>동일 상품이 여러 고객의 구매 맥락과 진열 후보에 걸칠 수 있다는 설명.</t>
  </si>
  <si>
    <t>I0 | 원문 3909, 3921행</t>
  </si>
  <si>
    <t>E067</t>
  </si>
  <si>
    <t>포장 인식</t>
  </si>
  <si>
    <t>상품 일반</t>
  </si>
  <si>
    <t>약 표지가 약간 그쪽 뷰티 쪽으로 돼 있으면</t>
  </si>
  <si>
    <t>포장 이미지가 소비자가 인식하는 용도에 영향을 준다고 본다.</t>
  </si>
  <si>
    <t>I0 | 원문 4077행</t>
  </si>
  <si>
    <t>E068</t>
  </si>
  <si>
    <t>진열 공간 제약</t>
  </si>
  <si>
    <t>공간이 한정적이고</t>
  </si>
  <si>
    <t>여러 맥락에 해당하는 제품을 모두 원하는 위치에 배치하기 어렵다.</t>
  </si>
  <si>
    <t>C006,C007</t>
  </si>
  <si>
    <t>I0 | 원문 4245행</t>
  </si>
  <si>
    <t>E069</t>
  </si>
  <si>
    <t>운영 업무 다중 역할</t>
  </si>
  <si>
    <t>현재·본인 경험</t>
  </si>
  <si>
    <t>직원도 부려야 되고 … 거래도 계속 … 해야 되고</t>
  </si>
  <si>
    <t>직원·거래처·진열·마케팅·시설·청소·재고·상담을 함께 관리한다.</t>
  </si>
  <si>
    <t>P006</t>
  </si>
  <si>
    <t>I0 | 원문 4377, 4401, 4413행</t>
  </si>
  <si>
    <t>E070</t>
  </si>
  <si>
    <t>보조직원 기대 차이</t>
  </si>
  <si>
    <t>일반 경험</t>
  </si>
  <si>
    <t>단순 알바처럼 생각을 하고</t>
  </si>
  <si>
    <t>일부 보조직원에 대해 기대하는 운영 업무와 실제 역할 인식에 차이가 있다고 본다.</t>
  </si>
  <si>
    <t>I0 | 원문 4497행</t>
  </si>
  <si>
    <t>E071</t>
  </si>
  <si>
    <t>전문 인력 비용</t>
  </si>
  <si>
    <t>선호·제약 설명</t>
  </si>
  <si>
    <t>그 정도로 돈을 난 안 … 쓰고 싶다</t>
  </si>
  <si>
    <t>전문 경영인력의 필요성은 인정하지만 비용 지출 의향은 낮다.</t>
  </si>
  <si>
    <t>C011,D016</t>
  </si>
  <si>
    <t>I0 | 원문 4581, 4593행</t>
  </si>
  <si>
    <t>E072</t>
  </si>
  <si>
    <t>안정적 처방 약국 비교</t>
  </si>
  <si>
    <t>다른 약국 일반</t>
  </si>
  <si>
    <t>대충 약 잘 갖다 놓으면 그냥 가만히만 있어도</t>
  </si>
  <si>
    <t>안정적 처방 수요를 가진 일부 약국은 변화 유인이 약하다고 본다.</t>
  </si>
  <si>
    <t>I0 | 원문 4701행</t>
  </si>
  <si>
    <t>E073</t>
  </si>
  <si>
    <t>대형약국 구매 규모</t>
  </si>
  <si>
    <t>과거 근무 경험</t>
  </si>
  <si>
    <t>사례 설명</t>
  </si>
  <si>
    <t>그 재고 파악이나 이런 게 안 되면 … 현금 흐름이 중요하기</t>
  </si>
  <si>
    <t>과거 대형약국의 구매규모와 현금흐름 관리 중요성을 설명한다.</t>
  </si>
  <si>
    <t>P008,I14</t>
  </si>
  <si>
    <t>I0 | 원문 4749행</t>
  </si>
  <si>
    <t>E074</t>
  </si>
  <si>
    <t>인근 대형약국 담당자</t>
  </si>
  <si>
    <t>과거 인근 약국 관찰</t>
  </si>
  <si>
    <t>아이패드 들고 다니면서 맨날 했거든 … 빌리러 오고</t>
  </si>
  <si>
    <t>재고 전담자가 있어도 부족해 주변에서 빌리는 사례를 보았다.</t>
  </si>
  <si>
    <t>I14</t>
  </si>
  <si>
    <t>I0 | 원문 4809행</t>
  </si>
  <si>
    <t>E075</t>
  </si>
  <si>
    <t>전문 담당자 의견</t>
  </si>
  <si>
    <t>과거 경험에 대한 평가</t>
  </si>
  <si>
    <t>규범적 의견</t>
  </si>
  <si>
    <t>고스펙의 사람이어야 된다고 생각을 … 했거든</t>
  </si>
  <si>
    <t>대규모 재고는 분석 역량 있는 인력이 맡아야 한다는 의견.</t>
  </si>
  <si>
    <t>I0 | 원문 4725, 4737행</t>
  </si>
  <si>
    <t>E076</t>
  </si>
  <si>
    <t>약국별 차이</t>
  </si>
  <si>
    <t>약국 전반</t>
  </si>
  <si>
    <t>비교 의견</t>
  </si>
  <si>
    <t>약국마다 특성이 다 달라</t>
  </si>
  <si>
    <t>역·주거·유흥 상권 등에 따라 필요한 운영이 다르다고 본다.</t>
  </si>
  <si>
    <t>I0 | 원문 4977행</t>
  </si>
  <si>
    <t>E077</t>
  </si>
  <si>
    <t>상담·대기 충돌</t>
  </si>
  <si>
    <t>길게 상담 받고 싶었잖아 근데 그 뒤에 사람들은 기다리잖아</t>
  </si>
  <si>
    <t>긴 상담 요구와 뒤 고객 대기 간 운영 부담을 설명한다.</t>
  </si>
  <si>
    <t>C012,S019</t>
  </si>
  <si>
    <t>I0 | 원문 5229행</t>
  </si>
  <si>
    <t>E078</t>
  </si>
  <si>
    <t>수가와 서비스 인식</t>
  </si>
  <si>
    <t>제도·경제 인식</t>
  </si>
  <si>
    <t>그 작은 숫가 안에 이 재고 관리랑 고객 지도랑 약국 전반적인 업무가</t>
  </si>
  <si>
    <t>보상·고정비 구조가 상담과 인력 투자를 제한한다고 느낀다.</t>
  </si>
  <si>
    <t>C012</t>
  </si>
  <si>
    <t>I0 | 원문 5421행</t>
  </si>
  <si>
    <t>E079</t>
  </si>
  <si>
    <t>브랜드 상품 마진 인식</t>
  </si>
  <si>
    <t>본인 운영 경험</t>
  </si>
  <si>
    <t>가격·수익 진술</t>
  </si>
  <si>
    <t>타이레놀 남지가 … 않아</t>
  </si>
  <si>
    <t>특정 유명 상품의 낮은 수익성을 설명한다.</t>
  </si>
  <si>
    <t>S023,X013,D003,R11,I15</t>
  </si>
  <si>
    <t>I0 | 원문 5985, 5997행</t>
  </si>
  <si>
    <t>E080</t>
  </si>
  <si>
    <t>브랜드 언급의 결과</t>
  </si>
  <si>
    <t>집에 있는 타이레놀이랑 같이 먹어도 된다라고 … 그럼 타이레놀 주세요</t>
  </si>
  <si>
    <t>집에 있을 수 있는 브랜드를 언급한 뒤 고객이 해당 제품을 구매한 사례.</t>
  </si>
  <si>
    <t>S023,L008,R11,I15</t>
  </si>
  <si>
    <t>I0 | 원문 5961, 5973행</t>
  </si>
  <si>
    <t>E081</t>
  </si>
  <si>
    <t>설명 변경 부담</t>
  </si>
  <si>
    <t>사례 판단</t>
  </si>
  <si>
    <t>이렇게 말이 … 붙어야 되잖아 … 그냥 타이러 잡지</t>
  </si>
  <si>
    <t>다른 제품으로 설명을 바꾸는 부담 때문에 요청한 브랜드를 준 맥락.</t>
  </si>
  <si>
    <t>C016,D003,D016,L008,R11,I15</t>
  </si>
  <si>
    <t>I0 | 원문 6057, 6069행</t>
  </si>
  <si>
    <t>E082</t>
  </si>
  <si>
    <t>병용 효능 주장</t>
  </si>
  <si>
    <t>약품 일반</t>
  </si>
  <si>
    <t>임상 주장</t>
  </si>
  <si>
    <t>같이 먹으면은 효과가 더 … 좋아</t>
  </si>
  <si>
    <t>약 조합을 설명하는 과정에서 병용 효과에 대한 견해를 말했다. 이 자료에는 조합의 의학적 판단을 추가하지 않는다.</t>
  </si>
  <si>
    <t>I15</t>
  </si>
  <si>
    <t>I0 | 원문 5901, 5913행</t>
  </si>
  <si>
    <t>E083</t>
  </si>
  <si>
    <t>재방문 분석 제안</t>
  </si>
  <si>
    <t>그 사람들이 온 그런 게 생각보다 많이 있을 수도 있잖아</t>
  </si>
  <si>
    <t>묶음 권유 후 재방문 여부로 수용성을 보자는 제안.</t>
  </si>
  <si>
    <t>I0 | 원문 6135, 6147행</t>
  </si>
  <si>
    <t>E084</t>
  </si>
  <si>
    <t>고객 선호 다양성</t>
  </si>
  <si>
    <t>본인 경험</t>
  </si>
  <si>
    <t>하나만 주면 안 돼요 이런 사람 … 되게 많아</t>
  </si>
  <si>
    <t>복수 제품 권유에 대한 고객 선호가 다르다고 설명한다.</t>
  </si>
  <si>
    <t>C016,X009,D004,D016,R12,I16</t>
  </si>
  <si>
    <t>I0 | 원문 6285, 6297행</t>
  </si>
  <si>
    <t>E085</t>
  </si>
  <si>
    <t>세트 구상</t>
  </si>
  <si>
    <t>미실행 계획</t>
  </si>
  <si>
    <t>아예 그냥 해보려고 하는 게 세트를 만들어서</t>
  </si>
  <si>
    <t>세 제품 묶음 진열을 시도해 설명 부담을 줄여보려는 생각.</t>
  </si>
  <si>
    <t>C016,D004,L010,R12,I16</t>
  </si>
  <si>
    <t>I0 | 원문 6321행</t>
  </si>
  <si>
    <t>E086</t>
  </si>
  <si>
    <t>전문가 역할 우려</t>
  </si>
  <si>
    <t>거부 조건</t>
  </si>
  <si>
    <t>뭐 하러 약사가 있어</t>
  </si>
  <si>
    <t>AI가 직접 추천을 대신하는 방식에 전문 역할 관련 우려를 밝혔다.</t>
  </si>
  <si>
    <t>D010,D011,R14,I16</t>
  </si>
  <si>
    <t>I0 | 원문 6465행</t>
  </si>
  <si>
    <t>E087</t>
  </si>
  <si>
    <t>약사 보조형 반응</t>
  </si>
  <si>
    <t>현재 및 다른 유형</t>
  </si>
  <si>
    <t>제안에 대한 조건부 동의</t>
  </si>
  <si>
    <t>일반 약이 많이 팔린 약국에서는 되게 도움이 되겠지</t>
  </si>
  <si>
    <t>약사에게 판매·마진 참고정보를 주는 제안은 일반약 비중이 큰 곳에 유용할 수 있다고 답했다.</t>
  </si>
  <si>
    <t>I0 | 원문 6501행</t>
  </si>
  <si>
    <t>E088</t>
  </si>
  <si>
    <t>일반약 구매자 규모</t>
  </si>
  <si>
    <t>거친 수량 진술</t>
  </si>
  <si>
    <t>10명 15명 뭐 이렇게 많으면 15명</t>
  </si>
  <si>
    <t>하루 일반약 구매자가 많지 않다고 하며 10~15명, 많으면 15명이라고 설명한다.</t>
  </si>
  <si>
    <t>P018,S007,S013,R14,I16</t>
  </si>
  <si>
    <t>I0 | 원문 6513행</t>
  </si>
  <si>
    <t>E089</t>
  </si>
  <si>
    <t>운영 우선과 매출구조</t>
  </si>
  <si>
    <t>유형 비교</t>
  </si>
  <si>
    <t>전문 약을 많이 하는 데는 재고가 중요하고 … 일반 약을 많이 하는 데는 일반 약이 중요하고</t>
  </si>
  <si>
    <t>처방/일반약 운영 비중에 따라 우선 관리 대상이 달라진다는 비교.</t>
  </si>
  <si>
    <t>P018</t>
  </si>
  <si>
    <t>I0 | 원문 6597행</t>
  </si>
  <si>
    <t>E090</t>
  </si>
  <si>
    <t>창고형 고객의 선택 방식</t>
  </si>
  <si>
    <t>다른 유형에 대한 의견</t>
  </si>
  <si>
    <t>창고용은 아니다 … 사람들이 지가 직접 고르러 가는 거기</t>
  </si>
  <si>
    <t>처음에는 추천정보가 유용할 수 있다고 했다가 직접 비교·선택하는 고객 행동을 추가로 고려했다.</t>
  </si>
  <si>
    <t>L011,I16</t>
  </si>
  <si>
    <t>I0 | 원문 6717행</t>
  </si>
  <si>
    <t>E091</t>
  </si>
  <si>
    <t>입지 컨설팅 이해상충</t>
  </si>
  <si>
    <t>다른 서비스 의견</t>
  </si>
  <si>
    <t>비판·의견</t>
  </si>
  <si>
    <t>올 약사 … 구함 이거기 … 때문에</t>
  </si>
  <si>
    <t>일부 개국 컨설팅은 입점 계약 성사에 초점이 있다고 인식한다.</t>
  </si>
  <si>
    <t>I0 | 원문 6957, 6969, 6981행</t>
  </si>
  <si>
    <t>E092</t>
  </si>
  <si>
    <t>컨설팅 정보 범위</t>
  </si>
  <si>
    <t>서비스 경험·의견</t>
  </si>
  <si>
    <t>그런 거 안 하지</t>
  </si>
  <si>
    <t>상품별 예상판매까지 제공하는지 질문에 부정적으로 답하고 병원·유동 요소 중심이라고 설명한다.</t>
  </si>
  <si>
    <t>I0 | 원문 7041행</t>
  </si>
  <si>
    <t>E093</t>
  </si>
  <si>
    <t>업무 처리 시간</t>
  </si>
  <si>
    <t>사람 없을 때 하지 … 짤박짤막할 때 하지</t>
  </si>
  <si>
    <t>영업 중 고객이 없는 짧은 틈에 정리·발주 업무를 처리한다.</t>
  </si>
  <si>
    <t>S020,D013,R17,I17</t>
  </si>
  <si>
    <t>I0 | 원문 7245, 7269행</t>
  </si>
  <si>
    <t>E094</t>
  </si>
  <si>
    <t>중단·기억 누락</t>
  </si>
  <si>
    <t>유도 질문 뒤 인정</t>
  </si>
  <si>
    <t>하다가도 하던 일을 까먹을 수 있지 그거 알림을 주면 좋긴 하지</t>
  </si>
  <si>
    <t>불규칙 고객 응대로 업무를 중단하면 잊을 수 있고 알림이 도움이 될 수 있다는 답.</t>
  </si>
  <si>
    <t>S020,X008,R18,I17</t>
  </si>
  <si>
    <t>I0 | 원문 7581행</t>
  </si>
  <si>
    <t>E096</t>
  </si>
  <si>
    <t>휴일 이후 소아 집중</t>
  </si>
  <si>
    <t>추석 다음 날에 진짜 헬이었거든 … 애기를 너무 많이 와가지고</t>
  </si>
  <si>
    <t>명절 다음 날 소아환자 집중으로 업무 부담이 컸다고 회고했다.</t>
  </si>
  <si>
    <t>S019,X001,X008,I18</t>
  </si>
  <si>
    <t>I0 | 원문 7953, 7977행</t>
  </si>
  <si>
    <t>E097</t>
  </si>
  <si>
    <t>소아 조제 사전처리 한계</t>
  </si>
  <si>
    <t>그 애기 이야기 다 다른데 … 엄청 달라</t>
  </si>
  <si>
    <t>미리 약을 빻아두자는 제안에 처방이 다르기 때문에 어렵다고 답했다.</t>
  </si>
  <si>
    <t>I18</t>
  </si>
  <si>
    <t>I0 | 원문 8001, 8043행</t>
  </si>
  <si>
    <t>E098</t>
  </si>
  <si>
    <t>장비 고장과 수리</t>
  </si>
  <si>
    <t>결과 설명</t>
  </si>
  <si>
    <t>그거 그거 고장 … 나서 그래 … 이제 고쳤어</t>
  </si>
  <si>
    <t>자주 울리던 장비 소리는 고장 때문이었고 수리한 상태라고 답했다.</t>
  </si>
  <si>
    <t>S021,L012,I19</t>
  </si>
  <si>
    <t>I0 | 원문 8085, 8097, 8109행</t>
  </si>
  <si>
    <t>U001</t>
  </si>
  <si>
    <t>약사 인원</t>
  </si>
  <si>
    <t>사용자 보완</t>
  </si>
  <si>
    <t>우리언니 그 약국이 약사2명이 운영해</t>
  </si>
  <si>
    <t>약사 2인 운영이라는 별도 사용자 확인.</t>
  </si>
  <si>
    <t>P004</t>
  </si>
  <si>
    <t>U1 | 사용자 보완: 약사 2인 운영</t>
  </si>
  <si>
    <t>속성·변수 사전</t>
  </si>
  <si>
    <t>현재 읽을 수 있는 내용부터 정리했다. 정량 계산에 필요한 값은 08_상황입력에서 해당 용도에 맞게 준비한다.</t>
  </si>
  <si>
    <t>항목 ID</t>
  </si>
  <si>
    <t>범주</t>
  </si>
  <si>
    <t>항목</t>
  </si>
  <si>
    <t>인터뷰에서 파악한 내용</t>
  </si>
  <si>
    <t>정리·활용 방법</t>
  </si>
  <si>
    <t>구현용 이름(참고)</t>
  </si>
  <si>
    <t>기록 형식·변화 시점</t>
  </si>
  <si>
    <t>P001</t>
  </si>
  <si>
    <t>약국 층수</t>
  </si>
  <si>
    <t>2층에 있는 약국이다.</t>
  </si>
  <si>
    <t>층수와 접근 경로를 함께 설정한다.</t>
  </si>
  <si>
    <t>E002,E013</t>
  </si>
  <si>
    <t>pharmacy.floor</t>
  </si>
  <si>
    <t>정수(층) · 이전 시</t>
  </si>
  <si>
    <t>운영 단계</t>
  </si>
  <si>
    <t>인터뷰 당시 개업 약 3주차다.</t>
  </si>
  <si>
    <t>수요와 상품 구성에 대한 경험이 쌓이는 초기 단계로 둔다.</t>
  </si>
  <si>
    <t>pharmacy.operating_age</t>
  </si>
  <si>
    <t>근사 기간(주) · 시점별</t>
  </si>
  <si>
    <t>운영 약사 수</t>
  </si>
  <si>
    <t>약사 2인이 함께 운영한다.</t>
  </si>
  <si>
    <t>기본 운영인원은 2명으로 둔다. 현재 출근인원과는 구별한다.</t>
  </si>
  <si>
    <t>pharmacy.pharmacist_count</t>
  </si>
  <si>
    <t>정수(명) · 인력 변경 시</t>
  </si>
  <si>
    <t>응답자의 담당 업무</t>
  </si>
  <si>
    <t>일반약·전문약 세팅, 비품, 진열, 인테리어·조명 등 개국 준비와 운영 전반에 직접 관여한다.</t>
  </si>
  <si>
    <t>상품·재고·인력·거래처·시설·상담에 걸친 역할을 담는다.</t>
  </si>
  <si>
    <t>E005,E069</t>
  </si>
  <si>
    <t>현재 약국 / 현재·본인 경험</t>
  </si>
  <si>
    <t>owner.roles</t>
  </si>
  <si>
    <t>다중값 · 분담 변경</t>
  </si>
  <si>
    <t>P008</t>
  </si>
  <si>
    <t>이전 약국과 규모가 큰 약국에서 근무한 경험이 있다.</t>
  </si>
  <si>
    <t>초도 상품 선정에 참고하는 경험으로 보관한다. 과거 약국의 재고·직원은 현재 값과 분리한다.</t>
  </si>
  <si>
    <t>E007,E073,E075</t>
  </si>
  <si>
    <t>과거 경험에 대한 평가 / 과거 근무 경험 / 현재 약국＋과거 경험</t>
  </si>
  <si>
    <t>owner.previous_experience</t>
  </si>
  <si>
    <t>다중값 · 이력 추가</t>
  </si>
  <si>
    <t>P010</t>
  </si>
  <si>
    <t>주요 처방 유입 맥락</t>
  </si>
  <si>
    <t>같은 건물의 정형외과와 신규 이비인후과를 중심으로 수요를 설명한다.</t>
  </si>
  <si>
    <t>진료과별 수요를 고려하는 맥락으로 쓴다.</t>
  </si>
  <si>
    <t>E002,E009,E017</t>
  </si>
  <si>
    <t>pharmacy.primary_clinic_types</t>
  </si>
  <si>
    <t>범주 목록 · 주변 기관 변화 시</t>
  </si>
  <si>
    <t>같은 건물의 의료기관 구성</t>
  </si>
  <si>
    <t>원문에 정형외과, 이비인후과, 교정 중심 치과가 나온다. 치과의 처방 연계는 제한적이라고 설명한다.</t>
  </si>
  <si>
    <t>주요 처방원 2곳과 건물 내 의료기관 구성을 따로 기록한다.</t>
  </si>
  <si>
    <t>E002,E014</t>
  </si>
  <si>
    <t>팀 회의 / 현재 약국</t>
  </si>
  <si>
    <t>pharmacy.cobuilding_medical_types</t>
  </si>
  <si>
    <t>기관 목록 · 기관 변경 시</t>
  </si>
  <si>
    <t>의료기관별 운영 이력</t>
  </si>
  <si>
    <t>이비인후과는 약국과 비슷한 시기에 개원했고, 정형외과는 그해 초부터 운영해 기존 환자가 있다.</t>
  </si>
  <si>
    <t>신규 의원의 인지도 형성과 기존 환자의 이용 습관을 나눠 본다.</t>
  </si>
  <si>
    <t>E002,E003,E004</t>
  </si>
  <si>
    <t>pharmacy.clinic_relationships</t>
  </si>
  <si>
    <t>객체 · 입점·개원 변화</t>
  </si>
  <si>
    <t>P013</t>
  </si>
  <si>
    <t>이동 경로</t>
  </si>
  <si>
    <t>정형외과 후문에서 엘리베이터를 타면 약국으로 바로 올라올 수 있다.</t>
  </si>
  <si>
    <t>같은 건물 여부 외에 실제 이동 경로를 담는다.</t>
  </si>
  <si>
    <t>pharmacy.access_route</t>
  </si>
  <si>
    <t>텍스트 · 동선 변경</t>
  </si>
  <si>
    <t>P014</t>
  </si>
  <si>
    <t>입구·동선 인지</t>
  </si>
  <si>
    <t>약국 입구와 후문·엘리베이터 동선을 잘 모르는 환자가 있다.</t>
  </si>
  <si>
    <t>물리적으로 가깝더라도 찾아오기 어려운 상황을 표현한다.</t>
  </si>
  <si>
    <t>E013,E019</t>
  </si>
  <si>
    <t>pharmacy.entrance_discoverability</t>
  </si>
  <si>
    <t>범주 · 안내·간판 변경</t>
  </si>
  <si>
    <t>P015</t>
  </si>
  <si>
    <t>주변 상권</t>
  </si>
  <si>
    <t>학교와 학원이 많은 지역이다.</t>
  </si>
  <si>
    <t>초기 고객·상품 수요를 예상한 배경으로 둔다.</t>
  </si>
  <si>
    <t>area.land_use_context</t>
  </si>
  <si>
    <t>다중값 · 지역 변화</t>
  </si>
  <si>
    <t>영업일 방침</t>
  </si>
  <si>
    <t>매일 운영하며 주말·공휴일에도 문을 연다고 설명한다.</t>
  </si>
  <si>
    <t>휴일 수요를 다룰 때 약국의 영업 여부를 함께 반영한다.</t>
  </si>
  <si>
    <t>E022,E026</t>
  </si>
  <si>
    <t>pharmacy.operating_days</t>
  </si>
  <si>
    <t>객체 · 영업 변경</t>
  </si>
  <si>
    <t>운영 중심</t>
  </si>
  <si>
    <t>처방 방문과 연계된 수요가 중심이며 일반약 구매는 상대적으로 적다.</t>
  </si>
  <si>
    <t>처방 중심 혼합형이라는 정성 설명으로 쓴다. 비율을 임의 숫자로 바꾸지 않는다.</t>
  </si>
  <si>
    <t>E010,E088,E089</t>
  </si>
  <si>
    <t>유형 비교 / 현재 약국</t>
  </si>
  <si>
    <t>pharmacy.operating_mix_label</t>
  </si>
  <si>
    <t>정성 범주 · 운영 변화 시</t>
  </si>
  <si>
    <t>P020</t>
  </si>
  <si>
    <t>워크인 유입</t>
  </si>
  <si>
    <t>일반약이나 상품만 사러 찾아오는 고객은 드물다.</t>
  </si>
  <si>
    <t>처방 방문자의 추가 구매를 고려한 구색 전략과 연결한다.</t>
  </si>
  <si>
    <t>pharmacy.walkin_pattern</t>
  </si>
  <si>
    <t>정성 범주 · 관찰 기간별</t>
  </si>
  <si>
    <t>사용 전산의 성격</t>
  </si>
  <si>
    <t>민간 유료 프로그램을 사용한다. 재고·매출·환자 관련 기본 기능은 있으나 분석은 단순하다고 느낀다.</t>
  </si>
  <si>
    <t>이 운영자가 사용하는 전산의 기능과 평가를 담는다.</t>
  </si>
  <si>
    <t>pharmacy.software_usage</t>
  </si>
  <si>
    <t>기능 목록·평가 · 도구 변경 시</t>
  </si>
  <si>
    <t>C001</t>
  </si>
  <si>
    <t>재고 구매대금 부담</t>
  </si>
  <si>
    <t>개업 초기라 수익이 충분히 나기 전에 약 구매대금을 크게 늘리기 부담스럽다.</t>
  </si>
  <si>
    <t>품절 방지와 구매대금 부담을 함께 고려한다.</t>
  </si>
  <si>
    <t>constraint.working_capital</t>
  </si>
  <si>
    <t>정성 제약 · 자금 사정 변화 시</t>
  </si>
  <si>
    <t>C002</t>
  </si>
  <si>
    <t>결제 주기 부담</t>
  </si>
  <si>
    <t>약을 많이 사두면 월 단위로 결제해야 할 금액이 커진다.</t>
  </si>
  <si>
    <t>구매 시점의 현금 유출 부담을 담는다.</t>
  </si>
  <si>
    <t>constraint.payment_terms</t>
  </si>
  <si>
    <t>조건 설명 · 거래조건 변경 시</t>
  </si>
  <si>
    <t>C003</t>
  </si>
  <si>
    <t>거래처별 반품 조건</t>
  </si>
  <si>
    <t>반품을 받지 않거나, 유효기간 임박품을 제한하거나, 일부 금액만 돌려주는 경우가 있다.</t>
  </si>
  <si>
    <t>반품을 모두 가능한 회수수단으로 보지 않는다. 80% 환급은 원문에서 든 조건 예시다.</t>
  </si>
  <si>
    <t>constraint.return_policy</t>
  </si>
  <si>
    <t>조건 목록 · 거래처별</t>
  </si>
  <si>
    <t>C005</t>
  </si>
  <si>
    <t>반품 가능 기간</t>
  </si>
  <si>
    <t>유효기간이 가까워진 상품은 반품이 제한될 수 있다.</t>
  </si>
  <si>
    <t>잔여 유효기간과 반품 가능 여부를 함께 확인하는 항목이다.</t>
  </si>
  <si>
    <t>constraint.return_deadline</t>
  </si>
  <si>
    <t>객체/NULL · 계약·로트별</t>
  </si>
  <si>
    <t>C006</t>
  </si>
  <si>
    <t>보관 공간</t>
  </si>
  <si>
    <t>의약품을 많이 쌓아둘 공간이 부족하다.</t>
  </si>
  <si>
    <t>재고 확대의 제약으로 담는다.</t>
  </si>
  <si>
    <t>E035,E068</t>
  </si>
  <si>
    <t>현재 약국 / 현재 약국·일반 조건</t>
  </si>
  <si>
    <t>constraint.storage_capacity</t>
  </si>
  <si>
    <t>객체/NULL · 점포·배치 변경</t>
  </si>
  <si>
    <t>C007</t>
  </si>
  <si>
    <t>진열 공간</t>
  </si>
  <si>
    <t>여러 용도로 쓰이는 상품을 모두 원하는 자리에 놓기에는 공간이 한정적이다.</t>
  </si>
  <si>
    <t>상품 용도·포장·고객 맥락에 따라 배치 자리를 선택한다.</t>
  </si>
  <si>
    <t>constraint.display_capacity</t>
  </si>
  <si>
    <t>객체/NULL · 배치 변경</t>
  </si>
  <si>
    <t>C008</t>
  </si>
  <si>
    <t>유효기간</t>
  </si>
  <si>
    <t>의약품에는 유효기간이 있어 무한정 보유할 수 없다.</t>
  </si>
  <si>
    <t>회전 속도와 보유량을 함께 판단하는 제약이다.</t>
  </si>
  <si>
    <t>constraint.expiry_handling</t>
  </si>
  <si>
    <t>텍스트 · 품목·정책별</t>
  </si>
  <si>
    <t>약사 확인 영역</t>
  </si>
  <si>
    <t>일부 전산 경고와 약 처리에는 약사 확인이 필요하다고 설명한다.</t>
  </si>
  <si>
    <t>업무를 나눌 때 인원수와 확인 권한을 함께 본다.</t>
  </si>
  <si>
    <t>E044,E048</t>
  </si>
  <si>
    <t>업계 일반 / 현재 약국</t>
  </si>
  <si>
    <t>constraint.pharmacist_review</t>
  </si>
  <si>
    <t>업무·역할 조건 · 업무 변경 시</t>
  </si>
  <si>
    <t>C010</t>
  </si>
  <si>
    <t>보조인력 교육</t>
  </si>
  <si>
    <t>바코드 처리와 전산 사용도 처음 온 사람은 교육이 필요하며 바로 익숙하게 처리하기 어렵다.</t>
  </si>
  <si>
    <t>단기 지원인력의 수와 실제 수행 가능한 업무를 구분한다.</t>
  </si>
  <si>
    <t>E045,E046</t>
  </si>
  <si>
    <t>현재 약국 / 현재 약국·가정 상황</t>
  </si>
  <si>
    <t>constraint.assistant_readiness</t>
  </si>
  <si>
    <t>범주/NULL · 교육·채용별</t>
  </si>
  <si>
    <t>C011</t>
  </si>
  <si>
    <t>전문 운영인력 비용</t>
  </si>
  <si>
    <t>전문 경영·분석 인력이 있으면 좋겠지만 그 정도 인건비는 쓰고 싶지 않다고 말한다.</t>
  </si>
  <si>
    <t>전문인력의 필요와 지출 의향을 별개로 둔다.</t>
  </si>
  <si>
    <t>constraint.manager_budget</t>
  </si>
  <si>
    <t>범주 · 경제·우선순위 변화</t>
  </si>
  <si>
    <t>상담 시간·공간</t>
  </si>
  <si>
    <t>계산대에서 긴 상담을 하면 뒤에 다른 고객이 기다린다.</t>
  </si>
  <si>
    <t>상담 충실도와 대기·업무량이 맞물리는 제약이다.</t>
  </si>
  <si>
    <t>E077,E078</t>
  </si>
  <si>
    <t>업계 일반 / 현재·업계 경험</t>
  </si>
  <si>
    <t>constraint.counseling_capacity</t>
  </si>
  <si>
    <t>텍스트 · 혼잡·시설 변화</t>
  </si>
  <si>
    <t>C013</t>
  </si>
  <si>
    <t>자동 상담기록 수용조건</t>
  </si>
  <si>
    <t>건강 대화가 동의 없이 수집되거나 외부 기업에 이용되는 것, 안전하게 보관되는지에 대해 우려한다.</t>
  </si>
  <si>
    <t>기록 대상·목적·동의·보관을 서비스 수용조건으로 담는다.</t>
  </si>
  <si>
    <t>E060,E061,E062</t>
  </si>
  <si>
    <t>본인 의견 / 인터뷰어 아이디어</t>
  </si>
  <si>
    <t>constraint.recording_acceptability</t>
  </si>
  <si>
    <t>텍스트 · 운영자 동의·정책 변경</t>
  </si>
  <si>
    <t>전산 재고 정확도</t>
  </si>
  <si>
    <t>재고 이동을 매번 정확히 입력하기 어렵고, 시간이 지나면 오차가 누적될 수 있다고 설명한다.</t>
  </si>
  <si>
    <t>전산 수량과 실물 확인을 구별한다.</t>
  </si>
  <si>
    <t>E042,E043</t>
  </si>
  <si>
    <t>현재·업계 경험 / 현재와 장기운영 비교</t>
  </si>
  <si>
    <t>constraint.stock_data_quality</t>
  </si>
  <si>
    <t>범주 · 실사·입출고 때</t>
  </si>
  <si>
    <t>C015</t>
  </si>
  <si>
    <t>공급정보 분산</t>
  </si>
  <si>
    <t>거래처가 많아 공급·품절 정보를 한곳에서 파악하기 어렵다.</t>
  </si>
  <si>
    <t>거래처별 주문 가능 상태를 구분한다.</t>
  </si>
  <si>
    <t>constraint.supplier_network</t>
  </si>
  <si>
    <t>객체/NULL · 거래처 변경</t>
  </si>
  <si>
    <t>C016</t>
  </si>
  <si>
    <t>추가 설명 부담</t>
  </si>
  <si>
    <t>다른 브랜드나 여러 제품을 권할 때 추가 설명이 필요하고 끼워팔기로 보일까 신경 쓴다.</t>
  </si>
  <si>
    <t>수익성, 설명에 드는 노력, 고객 신뢰를 함께 담는다.</t>
  </si>
  <si>
    <t>E081,E084,E085</t>
  </si>
  <si>
    <t>본인 경험 / 현재 약국</t>
  </si>
  <si>
    <t>constraint.explanation_cost</t>
  </si>
  <si>
    <t>텍스트/NULL · 상담·상품별</t>
  </si>
  <si>
    <t>고객별 기록 부담</t>
  </si>
  <si>
    <t>일반상품을 팔 때마다 구매자의 나이나 특성을 묻고 기록하기는 어렵다.</t>
  </si>
  <si>
    <t>모든 판매를 고객별로 기록하는 방식을 기본 전제로 두지 않는다.</t>
  </si>
  <si>
    <t>E054,E056</t>
  </si>
  <si>
    <t>본인 운영 방식 / 현재 약국</t>
  </si>
  <si>
    <t>constraint.recording_effort</t>
  </si>
  <si>
    <t>수/NULL · 도구·업무 변화</t>
  </si>
  <si>
    <t>C018</t>
  </si>
  <si>
    <t>의료기관 안내에 대한 인식</t>
  </si>
  <si>
    <t>병원에서 특정 약국으로 직접 안내하는 데 제도적 제한이 있다고 인식한다.</t>
  </si>
  <si>
    <t>유입·홍보에 관한 운영자의 인식으로 기록한다.</t>
  </si>
  <si>
    <t>constraint.referral_belief</t>
  </si>
  <si>
    <t>인식 · 관련 조건 변화 시</t>
  </si>
  <si>
    <t>S001</t>
  </si>
  <si>
    <t>전산 재고 정보</t>
  </si>
  <si>
    <t>품목별 재고 수량을 전산에서 조회할 수 있다.</t>
  </si>
  <si>
    <t>실제 상황을 넣을 때는 품목·단위·수량을 붙인다.</t>
  </si>
  <si>
    <t>E028,E030,E042</t>
  </si>
  <si>
    <t>현재 약국 / 현재와 장기운영 비교</t>
  </si>
  <si>
    <t>state.book_stock</t>
  </si>
  <si>
    <t>수치(품목별) · 입출고 시</t>
  </si>
  <si>
    <t>S002</t>
  </si>
  <si>
    <t>실물 재고 확인</t>
  </si>
  <si>
    <t>자주 나가는 약은 보관 장소를 눈으로 확인하는 편이 빠르다.</t>
  </si>
  <si>
    <t>실물 확인 결과를 전산 조회와 별도로 다룬다.</t>
  </si>
  <si>
    <t>E030,E031</t>
  </si>
  <si>
    <t>state.physical_stock</t>
  </si>
  <si>
    <t>수량·관측 내용 · 확인 시</t>
  </si>
  <si>
    <t>S004</t>
  </si>
  <si>
    <t>전산·실물 오차</t>
  </si>
  <si>
    <t>장기간 운영하면서 차이가 누적되는 문제를 설명한다. 현재 약국은 개업 초기다.</t>
  </si>
  <si>
    <t>실제 차이는 같은 품목·단위·시점으로 대조할 때 기록한다.</t>
  </si>
  <si>
    <t>state.stock_gap</t>
  </si>
  <si>
    <t>수량 차이·정성 상태 · 실사 시</t>
  </si>
  <si>
    <t>S005</t>
  </si>
  <si>
    <t>자주 쓰는 품목</t>
  </si>
  <si>
    <t>전체 약은 수백 가지지만 자주 쓰는 품목은 정해져 있다.</t>
  </si>
  <si>
    <t>확인할 우선 품목군을 두는 근거다.</t>
  </si>
  <si>
    <t>state.fast_moving_items</t>
  </si>
  <si>
    <t>다중값/NULL · 구색·수요 변화</t>
  </si>
  <si>
    <t>S007</t>
  </si>
  <si>
    <t>상품별 판매 반응</t>
  </si>
  <si>
    <t>청소년 대상 제품·소화제는 기대보다 덜 나가고, 감기약은 잘 팔린다고 말한다.</t>
  </si>
  <si>
    <t>초도 수요 예상과 실제 판매 반응을 비교한다.</t>
  </si>
  <si>
    <t>E016,E088</t>
  </si>
  <si>
    <t>state.recent_retail_sales</t>
  </si>
  <si>
    <t>상품군별 정성 반응 · 기간별</t>
  </si>
  <si>
    <t>S008</t>
  </si>
  <si>
    <t>체감 잔여 사용기간</t>
  </si>
  <si>
    <t>남은 양을 보고 오늘까지는 버티는지, 내일까지는 어려운지 판단한다.</t>
  </si>
  <si>
    <t>약사의 체감 판단을 담는다. 수치 계산을 할 때는 소진량을 별도 입력한다.</t>
  </si>
  <si>
    <t>state.expected_coverage</t>
  </si>
  <si>
    <t>범주/NULL · 확인 때</t>
  </si>
  <si>
    <t>S011</t>
  </si>
  <si>
    <t>현재 자금 부담</t>
  </si>
  <si>
    <t>매입대금이 늘어나는 부담이 있어 재고를 무한정 확대하기 어려운 초기 상태다.</t>
  </si>
  <si>
    <t>현재 자금 부담은 정성적으로 반영한다. 금액 계산은 예산을 입력한 경우에만 한다.</t>
  </si>
  <si>
    <t>state.purchase_pressure</t>
  </si>
  <si>
    <t>정성 상태 · 시점별</t>
  </si>
  <si>
    <t>S013</t>
  </si>
  <si>
    <t>일반약 구매 규모</t>
  </si>
  <si>
    <t>하루 일반약 구매자를 “10명, 15명, 많으면 15명” 정도로 설명한다.</t>
  </si>
  <si>
    <t>일반약 구매가 적다는 설명과 함께 근사 표현을 보존한다.</t>
  </si>
  <si>
    <t>state.otc_buyer_count</t>
  </si>
  <si>
    <t>근사 인원(명/일) · 관찰 기간별</t>
  </si>
  <si>
    <t>S016</t>
  </si>
  <si>
    <t>취급 상품 구성</t>
  </si>
  <si>
    <t>파스와 상비약을 준비했고 영양제는 많이 들이지 않았다. 칫솔·안마봉 등의 상품도 취급한다.</t>
  </si>
  <si>
    <t>직접 언급된 상품군과 초기 구성 방향을 담는다.</t>
  </si>
  <si>
    <t>E009,E010,E011</t>
  </si>
  <si>
    <t>state.assortment</t>
  </si>
  <si>
    <t>다중값/NULL · 도입·철수 때</t>
  </si>
  <si>
    <t>S017</t>
  </si>
  <si>
    <t>진열 위치</t>
  </si>
  <si>
    <t>캐릭터 칫솔은 구석에서 계산대 하단으로 옮겼다. 안마봉은 소파 근처에 두었다.</t>
  </si>
  <si>
    <t>상품별 이전 위치와 변경 후 위치를 사건에 연결한다.</t>
  </si>
  <si>
    <t>E049,E050,E053</t>
  </si>
  <si>
    <t>state.shelf_placement</t>
  </si>
  <si>
    <t>객체 · 이동 때</t>
  </si>
  <si>
    <t>S019</t>
  </si>
  <si>
    <t>혼잡·조제 부담</t>
  </si>
  <si>
    <t>명절 다음 날 소아환자가 많이 몰려 매우 바빴다. 긴 상담과 대기 고객이 겹치는 상황도 있다.</t>
  </si>
  <si>
    <t>고객 수 외에 조제 복잡도와 상담 부담을 함께 본다.</t>
  </si>
  <si>
    <t>E077,E096</t>
  </si>
  <si>
    <t>현재 약국 / 현재·업계 경험</t>
  </si>
  <si>
    <t>state.queue_and_workload</t>
  </si>
  <si>
    <t>상황 설명 · 시간대별</t>
  </si>
  <si>
    <t>S020</t>
  </si>
  <si>
    <t>중단·미완료 업무</t>
  </si>
  <si>
    <t>한가한 틈에 운영업무를 하다가 고객이 오면 중단하며, 하던 일을 잊기도 한다.</t>
  </si>
  <si>
    <t>작업의 시작·중단·재개·완료를 구분할 수 있다.</t>
  </si>
  <si>
    <t>E093,E094</t>
  </si>
  <si>
    <t>state.interrupted_tasks</t>
  </si>
  <si>
    <t>작업 상태 · 업무 발생 시</t>
  </si>
  <si>
    <t>S021</t>
  </si>
  <si>
    <t>장비 상태</t>
  </si>
  <si>
    <t>자주 울리던 소리는 장비 고장 때문이었으며 인터뷰 말미 기준으로 수리했다.</t>
  </si>
  <si>
    <t>현재 기록에는 수리된 상태를 반영한다.</t>
  </si>
  <si>
    <t>state.equipment_status</t>
  </si>
  <si>
    <t>범주 · 고장·수리 때</t>
  </si>
  <si>
    <t>구매 이력 연결</t>
  </si>
  <si>
    <t>처방 방문자의 일반약 동시구매 이력은 자동으로 연결되지 않는다. 필요하면 구매 내용을 수기로 메모하는 방식을 설명한다.</t>
  </si>
  <si>
    <t>자동 연결과 상담을 위한 수기 메모를 구분한다.</t>
  </si>
  <si>
    <t>E055,E057</t>
  </si>
  <si>
    <t>현재 전산 기능·응답자의 운영 경험</t>
  </si>
  <si>
    <t>state.purchase_linkage</t>
  </si>
  <si>
    <t>범주 · 도구·설정 변경</t>
  </si>
  <si>
    <t>S023</t>
  </si>
  <si>
    <t>상품 수익성 인식</t>
  </si>
  <si>
    <t>유명 제품의 마진이 매우 낮다고 설명하며 다른 회사 제품과 수익성 차이를 고려한다.</t>
  </si>
  <si>
    <t>실제 원가 계산값과 운영자의 수익성 인식을 구분한다.</t>
  </si>
  <si>
    <t>E008,E079,E080</t>
  </si>
  <si>
    <t>본인 운영 경험 / 현재 약국</t>
  </si>
  <si>
    <t>state.product_margin</t>
  </si>
  <si>
    <t>품목별 정성 평가 · 조건 변경 시</t>
  </si>
  <si>
    <t>X001</t>
  </si>
  <si>
    <t>요일·공휴일</t>
  </si>
  <si>
    <t>주말·공휴일에 운영하며 수요가 집중되는 날이 있다.</t>
  </si>
  <si>
    <t>약국 영업 여부와 주변 기관 일정이 함께 바뀌는 조건이다.</t>
  </si>
  <si>
    <t>E026,E096</t>
  </si>
  <si>
    <t>event.calendar</t>
  </si>
  <si>
    <t>객체/NULL · 일자별</t>
  </si>
  <si>
    <t>X002</t>
  </si>
  <si>
    <t>주요 의료기관 진료 일정</t>
  </si>
  <si>
    <t>같은 건물 의원의 진료와 약국 방문이 연계돼 있다. 주말·휴일 진료가 수요에 영향을 준다고 설명한다.</t>
  </si>
  <si>
    <t>시나리오에서 기관별 날짜와 진료 여부를 나눠 넣는다.</t>
  </si>
  <si>
    <t>E003,E026</t>
  </si>
  <si>
    <t>event.own_cluster_clinic_schedule</t>
  </si>
  <si>
    <t>기관·날짜별 상태 · 일정 변경 시</t>
  </si>
  <si>
    <t>X003</t>
  </si>
  <si>
    <t>인근 기존 이비인후과 휴진</t>
  </si>
  <si>
    <t>기존 이비인후과가 쉬는 날에는 같은 건물 신규 의원이 유난히 붐빈다고 말한다.</t>
  </si>
  <si>
    <t>휴진 주체를 특정해 신규 의원의 혼잡과 연결한다.</t>
  </si>
  <si>
    <t>event.competitor_clinic_closed</t>
  </si>
  <si>
    <t>불리언/NULL · 일자별</t>
  </si>
  <si>
    <t>X004</t>
  </si>
  <si>
    <t>새 의원은 아직 알려지는 과정이며 검색해서 오는 사람이 있다고 설명한다.</t>
  </si>
  <si>
    <t>개원 초기 인지도 변화와 수요 변동을 담는다.</t>
  </si>
  <si>
    <t>E023,E024</t>
  </si>
  <si>
    <t>주변 의료기관 / 현재 약국·인접 의원</t>
  </si>
  <si>
    <t>event.clinic_awareness</t>
  </si>
  <si>
    <t>범주/NULL · 주·월별</t>
  </si>
  <si>
    <t>X005</t>
  </si>
  <si>
    <t>감기·독감 유행</t>
  </si>
  <si>
    <t>유행이 갑자기 커지면 수요가 늘고 주문처의 약도 품절될 수 있다는 상황을 설명한다.</t>
  </si>
  <si>
    <t>수요 증가와 공급 부족이 겹치는 가정 조건으로 쓴다.</t>
  </si>
  <si>
    <t>event.epidemic_signal</t>
  </si>
  <si>
    <t>객체/NULL · 공개주기/관찰 때</t>
  </si>
  <si>
    <t>X006</t>
  </si>
  <si>
    <t>거래처 주문 가능 상태</t>
  </si>
  <si>
    <t>평소 공급되던 약도 유행기에 거래처 사이트에서 품절될 수 있다.</t>
  </si>
  <si>
    <t>거래처의 품절 상태와 약국 내부 재고를 구별한다.</t>
  </si>
  <si>
    <t>E033,E064</t>
  </si>
  <si>
    <t>업계·가정 사례 / 현재·일반 운영</t>
  </si>
  <si>
    <t>event.supplier_availability</t>
  </si>
  <si>
    <t>품목·거래처별 상태 · 조회 시</t>
  </si>
  <si>
    <t>X008</t>
  </si>
  <si>
    <t>불규칙한 고객 도착</t>
  </si>
  <si>
    <t>사람이 없을 때 하던 업무가 고객 도착으로 중단된다.</t>
  </si>
  <si>
    <t>업무중단 사건의 직접 계기로 둔다.</t>
  </si>
  <si>
    <t>E094,E096</t>
  </si>
  <si>
    <t>event.customer_arrival</t>
  </si>
  <si>
    <t>사건/NULL · 도착 때</t>
  </si>
  <si>
    <t>X009</t>
  </si>
  <si>
    <t>단일·복수 제품 요청</t>
  </si>
  <si>
    <t>여러 제품을 권해도 하나만 달라는 고객이 있는 등 선호가 다르다.</t>
  </si>
  <si>
    <t>고객의 명시적 요청을 개별 상담 조건으로 둔다.</t>
  </si>
  <si>
    <t>event.customer_preference</t>
  </si>
  <si>
    <t>범주/NULL · 상담마다</t>
  </si>
  <si>
    <t>X010</t>
  </si>
  <si>
    <t>공급자의 상품 정보</t>
  </si>
  <si>
    <t>사이트와 제약사에서 받은 목록으로 후보 상품을 비교했다.</t>
  </si>
  <si>
    <t>신규 상품 검토 시 성분·가격·포장·마진을 살필 정보원이다.</t>
  </si>
  <si>
    <t>event.new_product_offer</t>
  </si>
  <si>
    <t>상품 정보 · 제안·갱신 시</t>
  </si>
  <si>
    <t>X011</t>
  </si>
  <si>
    <t>상권과 실제 고객의 차이</t>
  </si>
  <si>
    <t>학교·학원가라는 조건으로 청소년 상품을 기대했지만 실제 반응은 달랐다.</t>
  </si>
  <si>
    <t>상권 정보와 실제 약국의 수요를 함께 둔다.</t>
  </si>
  <si>
    <t>event.local_customer_context</t>
  </si>
  <si>
    <t>상권 맥락·실제 반응 · 기간별</t>
  </si>
  <si>
    <t>X012</t>
  </si>
  <si>
    <t>기존 약국 이용 습관</t>
  </si>
  <si>
    <t>정형외과의 기존 환자가 이전부터 이용하던 옆 건물 약국으로 가기도 한다.</t>
  </si>
  <si>
    <t>환자 유입에 영향을 주는 기존 이용 경로로 기록한다.</t>
  </si>
  <si>
    <t>event.prior_pharmacy_habit</t>
  </si>
  <si>
    <t>범주 · 인지·경험 변화</t>
  </si>
  <si>
    <t>X013</t>
  </si>
  <si>
    <t>고객의 가격 기대</t>
  </si>
  <si>
    <t>유명 일반약 가격이 낮게 인식돼 있어 가격을 올리기 어렵다고 느낀다.</t>
  </si>
  <si>
    <t>상품 가격·마진을 판단할 때 운영자가 고려하는 고객 반응이다.</t>
  </si>
  <si>
    <t>event.market_price_expectation</t>
  </si>
  <si>
    <t>텍스트/NULL · 시장·상품별</t>
  </si>
  <si>
    <t>X014</t>
  </si>
  <si>
    <t>근무·지원인력 공백</t>
  </si>
  <si>
    <t>도와줄 사람이 오지 못하는 가정에서 지인에게 도움을 요청하겠다고 답했다.</t>
  </si>
  <si>
    <t>부족한 인원이 수행해야 할 업무와 경험을 함께 본다.</t>
  </si>
  <si>
    <t>event.staff_absence</t>
  </si>
  <si>
    <t>객체/NULL · 공백 발생 때</t>
  </si>
  <si>
    <t>D001</t>
  </si>
  <si>
    <t>필요한 약의 공급 지속</t>
  </si>
  <si>
    <t>품절이면 보유분 이후에는 약을 제공하지 못한다는 점을 우려한다.</t>
  </si>
  <si>
    <t>재고 부족 위험을 고려하는 목표로 둔다.</t>
  </si>
  <si>
    <t>E032,E033</t>
  </si>
  <si>
    <t>업계·가정 사례 / 현재 약국</t>
  </si>
  <si>
    <t>policy.service_continuity</t>
  </si>
  <si>
    <t>텍스트 · 정책 검토</t>
  </si>
  <si>
    <t>D002</t>
  </si>
  <si>
    <t>재고·대금 부담 조절</t>
  </si>
  <si>
    <t>과잉재고와 결제 부담을 늘리지 않으려 한다.</t>
  </si>
  <si>
    <t>회전이 높고 여유가 있으면 더 보유할 수 있다는 설명도 함께 둔다.</t>
  </si>
  <si>
    <t>E034,E038</t>
  </si>
  <si>
    <t>거래 관행 설명 / 현재 약국</t>
  </si>
  <si>
    <t>policy.capital_preservation</t>
  </si>
  <si>
    <t>텍스트 · 상태에 따라</t>
  </si>
  <si>
    <t>D003</t>
  </si>
  <si>
    <t>가격과 마진 고려</t>
  </si>
  <si>
    <t>상품을 고를 때 판매가격과 마진을 함께 본다.</t>
  </si>
  <si>
    <t>수익성은 상품선정·권유에서 고려하는 기준이다.</t>
  </si>
  <si>
    <t>E008,E079,E081</t>
  </si>
  <si>
    <t>policy.retail_profitability</t>
  </si>
  <si>
    <t>텍스트 · 상품·시점별</t>
  </si>
  <si>
    <t>D004</t>
  </si>
  <si>
    <t>과잉판매 인식에 대한 부담</t>
  </si>
  <si>
    <t>여러 제품을 권하거나 보호자에게 구매를 조르게 하면 불편하게 느낄 수 있다고 생각한다.</t>
  </si>
  <si>
    <t>고객의 신뢰와 요청을 함께 고려하는 기준이다.</t>
  </si>
  <si>
    <t>E052,E084,E085</t>
  </si>
  <si>
    <t>policy.trust_preservation</t>
  </si>
  <si>
    <t>텍스트 · 상담마다</t>
  </si>
  <si>
    <t>D005</t>
  </si>
  <si>
    <t>재고 확인 방식</t>
  </si>
  <si>
    <t>자주 쓰는 약은 실제 위치를 눈으로 확인하는 편이 빠르다고 말한다.</t>
  </si>
  <si>
    <t>주력 품목에 집중하는 실물 확인 방식을 반영한다.</t>
  </si>
  <si>
    <t>policy.stock_check_method</t>
  </si>
  <si>
    <t>텍스트 · 업무 상황별</t>
  </si>
  <si>
    <t>D006</t>
  </si>
  <si>
    <t>잔여기간 판단</t>
  </si>
  <si>
    <t>남아 있는 약으로 오늘과 내일의 수요를 감당할지 사람이 판단한다.</t>
  </si>
  <si>
    <t>잔여기간 판단과 실제 발주량 결정은 구분한다.</t>
  </si>
  <si>
    <t>policy.coverage_judgment</t>
  </si>
  <si>
    <t>텍스트 · 재고 변화</t>
  </si>
  <si>
    <t>D007</t>
  </si>
  <si>
    <t>초도 상품 선택</t>
  </si>
  <si>
    <t>이전 근무 경험, 제약사 목록, 성분·가격·디자인·마진, 주변 진료과와 입지를 함께 고려한다.</t>
  </si>
  <si>
    <t>각 기준을 저장하고 원문에 없는 점수 가중치는 붙이지 않는다.</t>
  </si>
  <si>
    <t>E006,E007,E008,E009,E010</t>
  </si>
  <si>
    <t>현재 약국 / 현재 약국＋과거 경험</t>
  </si>
  <si>
    <t>policy.assortment_criteria</t>
  </si>
  <si>
    <t>다중값 · 상품 도입 때</t>
  </si>
  <si>
    <t>D008</t>
  </si>
  <si>
    <t>수기 기록의 기준</t>
  </si>
  <si>
    <t>기록해서 얻는 게 있으면 직접 적는다. 단골이 다시 같은 영양제를 찾을 때를 예로 든다.</t>
  </si>
  <si>
    <t>기록 방식보다 다음 상담에서의 효용을 중시한다.</t>
  </si>
  <si>
    <t>E056,E057</t>
  </si>
  <si>
    <t>policy.manual_note_value</t>
  </si>
  <si>
    <t>텍스트 · 업무마다</t>
  </si>
  <si>
    <t>D009</t>
  </si>
  <si>
    <t>필요한 분석 대상</t>
  </si>
  <si>
    <t>특정 고객의 방문순위보다 어떤 품목이 잘 팔리는지가 중요하다고 답했다.</t>
  </si>
  <si>
    <t>상품·판매 중심 정보와 개별 상담 메모의 쓰임을 나눠 둔다.</t>
  </si>
  <si>
    <t>policy.analysis_target</t>
  </si>
  <si>
    <t>텍스트 · 업무 목표별</t>
  </si>
  <si>
    <t>D010</t>
  </si>
  <si>
    <t>전문가의 판단 역할</t>
  </si>
  <si>
    <t>약사 확인과 책임을 강조하고, AI가 약사를 대신하는 방식에는 우려를 보인다.</t>
  </si>
  <si>
    <t>전문가 역할에 대한 운영자의 기대를 담는다.</t>
  </si>
  <si>
    <t>E048,E086,E087</t>
  </si>
  <si>
    <t>본인 의견 / 현재 및 다른 유형 / 현재 약국</t>
  </si>
  <si>
    <t>policy.human_review</t>
  </si>
  <si>
    <t>범주 · 권한 변경</t>
  </si>
  <si>
    <t>D011</t>
  </si>
  <si>
    <t>AI 보조정보의 수용범위</t>
  </si>
  <si>
    <t>약사에게 판매·마진 참고정보를 주는 제안에는 긍정적이며, 일반약 판매가 많은 곳에 더 유용하다고 본다.</t>
  </si>
  <si>
    <t>제품 도입 경험이 아닌 제안에 대한 반응으로 담는다.</t>
  </si>
  <si>
    <t>E086,E087</t>
  </si>
  <si>
    <t>본인 의견 / 현재 및 다른 유형</t>
  </si>
  <si>
    <t>policy.ai_role_acceptance</t>
  </si>
  <si>
    <t>텍스트 · 실사용 후</t>
  </si>
  <si>
    <t>D013</t>
  </si>
  <si>
    <t>운영업무 처리 시점</t>
  </si>
  <si>
    <t>영업 중 손님 없는 짧은 틈에 처리한다. 너무 바쁘면 마감 후에 한다.</t>
  </si>
  <si>
    <t>매일 정해진 마감 분석시간을 갖는 것으로 설정하지 않는다.</t>
  </si>
  <si>
    <t>policy.operation_time</t>
  </si>
  <si>
    <t>텍스트 · 혼잡 상태별</t>
  </si>
  <si>
    <t>D016</t>
  </si>
  <si>
    <t>함께 고려하는 목표</t>
  </si>
  <si>
    <t>공급 지속, 결제 부담, 마진, 고객 신뢰, 설명·업무 부담을 함께 언급한다.</t>
  </si>
  <si>
    <t>고정된 목표 순위 대신 상황에 따라 함께 고려하는 조건으로 둔다.</t>
  </si>
  <si>
    <t>E034,E071,E081,E084</t>
  </si>
  <si>
    <t>본인 경험 / 본인 의견 / 현재 약국</t>
  </si>
  <si>
    <t>policy.goal_tradeoffs</t>
  </si>
  <si>
    <t>객체/NULL · 상황별</t>
  </si>
  <si>
    <t>L001</t>
  </si>
  <si>
    <t>청소년 상품 수요 재인식</t>
  </si>
  <si>
    <t>학생이 많아 잘 팔릴 것으로 예상했지만 청소년 제품은 기대보다 덜 나갔다.</t>
  </si>
  <si>
    <t>초기 상권 예상과 실제 반응의 차이를 경험으로 저장한다.</t>
  </si>
  <si>
    <t>outcome.student_demand_gap</t>
  </si>
  <si>
    <t>텍스트 · 사건 후</t>
  </si>
  <si>
    <t>L002</t>
  </si>
  <si>
    <t>정형외과 유입 재인식</t>
  </si>
  <si>
    <t>같은 건물이라 많이 올 것으로 예상했지만 유입이 적었다. 기존 동선과 입구 인지를 원인으로 설명한다.</t>
  </si>
  <si>
    <t>동일 건물 여부 외에 접근성과 이용습관을 함께 고려하는 사례다.</t>
  </si>
  <si>
    <t>E017,E018,E019</t>
  </si>
  <si>
    <t>outcome.ortho_inflow_gap</t>
  </si>
  <si>
    <t>L003</t>
  </si>
  <si>
    <t>어린이 칫솔의 관심 반응</t>
  </si>
  <si>
    <t>계산대 하단으로 옮긴 뒤 아이가 무릎을 꿇고 볼 정도로 관심을 보였다.</t>
  </si>
  <si>
    <t>아이가 칫솔에도 관심을 갖는다는 인식 변화를 기록한다.</t>
  </si>
  <si>
    <t>E050,E051</t>
  </si>
  <si>
    <t>outcome.toothbrush_attention</t>
  </si>
  <si>
    <t>텍스트 · 변경 후</t>
  </si>
  <si>
    <t>L004</t>
  </si>
  <si>
    <t>관심 사례의 구매 결과</t>
  </si>
  <si>
    <t>관심을 보인 해당 아이는 구매하지 않았다.</t>
  </si>
  <si>
    <t>관심과 구매를 별도의 결과로 기록한다.</t>
  </si>
  <si>
    <t>outcome.toothbrush_purchase</t>
  </si>
  <si>
    <t>정수 · 해당 사건</t>
  </si>
  <si>
    <t>L005</t>
  </si>
  <si>
    <t>안마봉 판매 결과</t>
  </si>
  <si>
    <t>소파에 앉아 만져보던 안마봉이 보유분 전부 팔렸다고 말한다.</t>
  </si>
  <si>
    <t>위치·체험·판매가 함께 등장한 경험 사례로 저장한다.</t>
  </si>
  <si>
    <t>outcome.massage_stock_sold</t>
  </si>
  <si>
    <t>텍스트 · 해당 기간</t>
  </si>
  <si>
    <t>L006</t>
  </si>
  <si>
    <t>재고가 아슬아슬했던 경험이 있다고 답했다.</t>
  </si>
  <si>
    <t>재고 부족 우려의 배경 경험으로 둔다.</t>
  </si>
  <si>
    <t>outcome.near_stockout</t>
  </si>
  <si>
    <t>텍스트 · 발생 때</t>
  </si>
  <si>
    <t>L007</t>
  </si>
  <si>
    <t>과거 코로나 키트 재고</t>
  </si>
  <si>
    <t>이전 근무 약국에서 유행 후 많이 확보한 키트가 수요 감소로 오랫동안 남았다.</t>
  </si>
  <si>
    <t>과거 약국의 경험으로 저장한다.</t>
  </si>
  <si>
    <t>outcome.overstock_past</t>
  </si>
  <si>
    <t>텍스트 · 사건 기록</t>
  </si>
  <si>
    <t>L008</t>
  </si>
  <si>
    <t>브랜드 언급 후 추가 구매</t>
  </si>
  <si>
    <t>집에 있을 수 있는 유명 브랜드를 언급하자 고객이 그 제품을 추가로 요청했고 그대로 제공했다.</t>
  </si>
  <si>
    <t>판매 결과와 낮은 마진·설명 변경 부담에 대한 회고를 묶는다.</t>
  </si>
  <si>
    <t>E080,E081</t>
  </si>
  <si>
    <t>outcome.brand_request</t>
  </si>
  <si>
    <t>L009</t>
  </si>
  <si>
    <t>관찰을 통한 인식 변화</t>
  </si>
  <si>
    <t>청소년 제품 반응, 정형외과 유입, 어린이 칫솔 관심에서 처음 예상과 다른 점을 알게 됐다.</t>
  </si>
  <si>
    <t>인식 변화까지 기록한다. 이후 실제로 바꾼 행동은 따로 적는다.</t>
  </si>
  <si>
    <t>E015,E017,E051</t>
  </si>
  <si>
    <t>learning.confirmed_updates</t>
  </si>
  <si>
    <t>객체/NULL · 확인된 변경 때</t>
  </si>
  <si>
    <t>L010</t>
  </si>
  <si>
    <t>세트 진열 계획</t>
  </si>
  <si>
    <t>세 제품을 미리 묶어 두면 고객이 먼저 관심을 보이고 설명 부담도 줄 수 있다고 생각한다.</t>
  </si>
  <si>
    <t>시도하려는 계획으로 보관한다.</t>
  </si>
  <si>
    <t>learning.planned_bundle</t>
  </si>
  <si>
    <t>텍스트 · 실행/철회 때</t>
  </si>
  <si>
    <t>L011</t>
  </si>
  <si>
    <t>창고형 적합성에 대한 생각</t>
  </si>
  <si>
    <t>추천정보가 유용할 것 같다고 했다가, 고객이 직접 비교·선택하는 방식이라 다를 수 있다고 다시 설명했다.</t>
  </si>
  <si>
    <t>고객 선택 방식에 따라 기능의 쓰임이 달라진다는 비교 의견이다.</t>
  </si>
  <si>
    <t>다른 유형 의견</t>
  </si>
  <si>
    <t>learning.warehouse_fit_revision</t>
  </si>
  <si>
    <t>텍스트 · 진술 업데이트</t>
  </si>
  <si>
    <t>L012</t>
  </si>
  <si>
    <t>인터뷰어가 재고·용량 문제로 생각한 소리를 장비 고장이라고 설명했고 수리했다고 말했다.</t>
  </si>
  <si>
    <t>고장 사건과 수리 후 상태를 함께 기록한다.</t>
  </si>
  <si>
    <t>learning.equipment_correction</t>
  </si>
  <si>
    <t>텍스트 · 수리·확인 때</t>
  </si>
  <si>
    <t>판단규칙 정리</t>
  </si>
  <si>
    <t>실제 행동, 운영 원칙, 제안에 대한 반응을 구분했다. 조건과 고려사항을 읽는 표이며 자동화된 처방·발주 명령은 아니다.</t>
  </si>
  <si>
    <t>규칙 ID</t>
  </si>
  <si>
    <t>판단 내용</t>
  </si>
  <si>
    <t>발언 성격</t>
  </si>
  <si>
    <t>적용 상황</t>
  </si>
  <si>
    <t>확인·고려 정보</t>
  </si>
  <si>
    <t>운영자의 판단 방식</t>
  </si>
  <si>
    <t>읽을 때 참고</t>
  </si>
  <si>
    <t>연결 변수</t>
  </si>
  <si>
    <t>R01</t>
  </si>
  <si>
    <t>자주 쓰는 품목의 빠른 실물 확인</t>
  </si>
  <si>
    <t>현재 행동에서 추출</t>
  </si>
  <si>
    <t>자주 쓰는 품목이고 실물 확인이 빠른 업무 상황</t>
  </si>
  <si>
    <t>주력품목 목록·실물/전산 접근성</t>
  </si>
  <si>
    <t>자주 나가는 약은 보관 장소를 눈으로 확인한다.</t>
  </si>
  <si>
    <t>주력품목에 적용하는 확인 방식이다.</t>
  </si>
  <si>
    <t>S001,S002,S005,D005</t>
  </si>
  <si>
    <t>R02</t>
  </si>
  <si>
    <t>잔여량으로 오늘·내일 감당 가능성 판단</t>
  </si>
  <si>
    <t>현재 판단에서 추출</t>
  </si>
  <si>
    <t>재고 확인 시</t>
  </si>
  <si>
    <t>남은 양·체감 사용속도</t>
  </si>
  <si>
    <t>오늘은 버티지만 내일은 어려울지를 사람이 판단한다.</t>
  </si>
  <si>
    <t>원문에서 확인된 것은 오늘·내일 감당 가능성 판단이다. 실제 주문량 산식은 상황 입력에 따라 정한다.</t>
  </si>
  <si>
    <t>E029,E037</t>
  </si>
  <si>
    <t>S008,D006</t>
  </si>
  <si>
    <t>R03</t>
  </si>
  <si>
    <t>개업 초기 자금·재고 부담 함께 고려</t>
  </si>
  <si>
    <t>운영이력 부족＋구매대금 부담</t>
  </si>
  <si>
    <t>가용 예산·회전 불확실성·보관·유효기간</t>
  </si>
  <si>
    <t>품절 우려가 있어도 무한정 미리 사두지는 못한다.</t>
  </si>
  <si>
    <t>회전이 높고 자금에 여유가 있으면 더 보유할 수 있다고도 설명했다.</t>
  </si>
  <si>
    <t>E034,E035,E036,E037</t>
  </si>
  <si>
    <t>C001,C006,S011,D002</t>
  </si>
  <si>
    <t>R04</t>
  </si>
  <si>
    <t>반품을 쉽게 되돌릴 수 있는 선택으로 보지 않음</t>
  </si>
  <si>
    <t>거래조건 설명에서 추출</t>
  </si>
  <si>
    <t>과잉재고 가능성을 검토할 때</t>
  </si>
  <si>
    <t>거래처별 허용·기한·환급조건</t>
  </si>
  <si>
    <t>반품 조건이 불리할 수 있으므로 가능한 한 반품을 피하는 편이 이득이라고 본다.</t>
  </si>
  <si>
    <t>반품 조건은 거래처·품목에 따라 다르다.</t>
  </si>
  <si>
    <t>C003,C005</t>
  </si>
  <si>
    <t>R05</t>
  </si>
  <si>
    <t>초도 상품을 여러 기준으로 비교</t>
  </si>
  <si>
    <t>신규 구색 선정</t>
  </si>
  <si>
    <t>과거 선호 경험·제약사 목록·성분·가격·디자인·마진</t>
  </si>
  <si>
    <t>경험과 제품목록을 함께 보며 비교해 일반약을 선정했다.</t>
  </si>
  <si>
    <t>비교 기준 목록을 사용하고 수치 가중치는 붙이지 않는다.</t>
  </si>
  <si>
    <t>E006,E007,E008</t>
  </si>
  <si>
    <t>D007,P008,S016</t>
  </si>
  <si>
    <t>R06</t>
  </si>
  <si>
    <t>실제 방문 목적에 맞춘 구색 계획</t>
  </si>
  <si>
    <t>2층·워크인 적을 것으로 예상한 개국 상황</t>
  </si>
  <si>
    <t>주요 진료과·접근성·방문 목적 예상</t>
  </si>
  <si>
    <t>파스·상비약을 준비하고 방문 중 추가 구매를 염두에 두며 영양제는 많이 두지 않았다.</t>
  </si>
  <si>
    <t>현재 약국의 초기 구색 선정 사례다.</t>
  </si>
  <si>
    <t>E009,E010,E011,E012</t>
  </si>
  <si>
    <t>P010,P018,P020,S016</t>
  </si>
  <si>
    <t>R07</t>
  </si>
  <si>
    <t>진열 반응을 직접 관찰</t>
  </si>
  <si>
    <t>진열을 바꾼 후</t>
  </si>
  <si>
    <t>변경 위치·고객 관심·실판매</t>
  </si>
  <si>
    <t>칫솔에 아이가 관심을 보이고 안마봉이 팔리는 모습을 관찰했다.</t>
  </si>
  <si>
    <t>관심을 보인 아이의 구매는 없었고, 안마봉은 보유분 판매 사례다.</t>
  </si>
  <si>
    <t>E049,E050,E051,E053</t>
  </si>
  <si>
    <t>S017,L003,L004,L005</t>
  </si>
  <si>
    <t>주변 휴진과 혼잡을 연결해 인식</t>
  </si>
  <si>
    <t>관찰된 관계에서 추출</t>
  </si>
  <si>
    <t>기존 이비인후과가 쉬는 날</t>
  </si>
  <si>
    <t>기관별 진료 일정·신규 의원 환자 흐름</t>
  </si>
  <si>
    <t>기존 의원 휴진일에 신규 의원이 붐비는 경향을 말한다.</t>
  </si>
  <si>
    <t>주변 의원 휴진과 혼잡을 연결한 관찰이다.</t>
  </si>
  <si>
    <t>E025,E026,E027</t>
  </si>
  <si>
    <t>X001,X002,X003</t>
  </si>
  <si>
    <t>R09</t>
  </si>
  <si>
    <t>기록의 후속 효용이 있으면 수기 입력도 가능</t>
  </si>
  <si>
    <t>현재/과거 방식에서 추출</t>
  </si>
  <si>
    <t>다음 상담에서 구매제품을 기억할 필요</t>
  </si>
  <si>
    <t>기록 노력·다음 사용 목적</t>
  </si>
  <si>
    <t>얻는 게 있으면 기록하며 단골 영양제 메모 용도를 설명했다.</t>
  </si>
  <si>
    <t>다음 상담에 도움이 되는 기록을 예로 들었다.</t>
  </si>
  <si>
    <t>E056,E057,E058</t>
  </si>
  <si>
    <t>C017,D008,S022</t>
  </si>
  <si>
    <t>R10</t>
  </si>
  <si>
    <t>방문자 랭킹보다 상품 판매정보 우선</t>
  </si>
  <si>
    <t>현재 의견에서 추출</t>
  </si>
  <si>
    <t>고객 방문순 정렬 기능을 제안받은 상황</t>
  </si>
  <si>
    <t>품목 판매·개별 방문순위의 목적</t>
  </si>
  <si>
    <t>특정 고객의 방문횟수보다 어떤 품목이 팔리는지가 중요하다고 답한다.</t>
  </si>
  <si>
    <t>상품 분석과 상담용 메모는 서로 다른 용도다.</t>
  </si>
  <si>
    <t>E065,E057</t>
  </si>
  <si>
    <t>R11</t>
  </si>
  <si>
    <t>마진·설명 부담·고객 요청을 함께 고려</t>
  </si>
  <si>
    <t>현재 사례에서 추출</t>
  </si>
  <si>
    <t>이미 특정 브랜드가 대화에 나온 상황</t>
  </si>
  <si>
    <t>요청제품·대체 설명부담·수익성 인식</t>
  </si>
  <si>
    <t>유명 브랜드를 언급한 뒤 고객 요청에 따라 제공했고 다른 제품 설명 부담을 말한다.</t>
  </si>
  <si>
    <t>상품의 수익성과 추가 설명에 드는 부담을 함께 고려한 사례다.</t>
  </si>
  <si>
    <t>E079,E080,E081</t>
  </si>
  <si>
    <t>D003,D004,S023,L008</t>
  </si>
  <si>
    <t>R12</t>
  </si>
  <si>
    <t>고객마다 복수 제품 권유 수용이 다름</t>
  </si>
  <si>
    <t>현재 경험에서 추출</t>
  </si>
  <si>
    <t>여러 제품을 권할 때</t>
  </si>
  <si>
    <t>고객의 명시적 요청·필요</t>
  </si>
  <si>
    <t>한 제품만 원하는 고객도 많다고 설명한다.</t>
  </si>
  <si>
    <t>세트 진열은 앞으로 해보려는 계획이다.</t>
  </si>
  <si>
    <t>E084,E085</t>
  </si>
  <si>
    <t>X009,D004,L010</t>
  </si>
  <si>
    <t>R13</t>
  </si>
  <si>
    <t>비동의 음성 수집과 외부 이용에 우려</t>
  </si>
  <si>
    <t>자동 상담기록 기능 제안</t>
  </si>
  <si>
    <t>동의·건강정보·외부이용·보관</t>
  </si>
  <si>
    <t>기록과 수집 과정 자체의 거부 가능성을 설명한다.</t>
  </si>
  <si>
    <t>자동 기록을 실제 도입한 경험이 아닌 수용조건에 대한 의견이다.</t>
  </si>
  <si>
    <t>R14</t>
  </si>
  <si>
    <t>약사에게 참고정보를 제공하는 형태의 조건부 수용</t>
  </si>
  <si>
    <t>제안 반응에서 추출</t>
  </si>
  <si>
    <t>AI 조합 제안을 누구에게 보여줄지 설명한 후</t>
  </si>
  <si>
    <t>추천 대상·약사 역할·일반약 판매규모</t>
  </si>
  <si>
    <t>직접 대체에는 우려, 약사에게 경영 참고정보를 주는 형태에는 조건부 긍정.</t>
  </si>
  <si>
    <t>일반약 판매가 많은 약국에 더 유용할 수 있다는 조건이 붙는다.</t>
  </si>
  <si>
    <t>E086,E087,E088</t>
  </si>
  <si>
    <t>D010,D011</t>
  </si>
  <si>
    <t>R15</t>
  </si>
  <si>
    <t>인원보다 수행 가능한 업무를 확인</t>
  </si>
  <si>
    <t>단기 도움 또는 신규 보조자 투입</t>
  </si>
  <si>
    <t>경험·교육·경고처리 권한</t>
  </si>
  <si>
    <t>경험이 조금 있어도 교육이 필요하고 초보자는 바로 처리하기 어렵다.</t>
  </si>
  <si>
    <t>신규 보조인력 교육과 약사 확인이 필요한 업무를 함께 본다.</t>
  </si>
  <si>
    <t>E045,E046,E047,E048</t>
  </si>
  <si>
    <t>C009,C010</t>
  </si>
  <si>
    <t>R16</t>
  </si>
  <si>
    <t>인력 공백 시 지인 도움 고려</t>
  </si>
  <si>
    <t>가정 응답에서 추출</t>
  </si>
  <si>
    <t>도움을 받을 사람이 오지 못하는 가정</t>
  </si>
  <si>
    <t>부족 역할·해당 업무 경험</t>
  </si>
  <si>
    <t>지인에게 도움을 요청해야 한다고 답했다.</t>
  </si>
  <si>
    <t>도움을 받을 인력이 오지 못한다는 가정에 대한 답변이다.</t>
  </si>
  <si>
    <t>R17</t>
  </si>
  <si>
    <t>영업 중 한가한 틈에 운영업무 처리</t>
  </si>
  <si>
    <t>손님 없는 짧은 시간</t>
  </si>
  <si>
    <t>혼잡 상태·미완료업무</t>
  </si>
  <si>
    <t>중간중간 정리·발주 업무를 하고 너무 바쁘면 마감 후 처리한다고 설명한다.</t>
  </si>
  <si>
    <t>영업 중 처리할 여유가 없을 때는 마감 후로 넘어간다.</t>
  </si>
  <si>
    <t>D013,S019,S020</t>
  </si>
  <si>
    <t>R18</t>
  </si>
  <si>
    <t>중단업무 알림의 유용성 후보</t>
  </si>
  <si>
    <t>제안에 대한 반응</t>
  </si>
  <si>
    <t>불규칙한 고객 응대로 작업 중단</t>
  </si>
  <si>
    <t>미완료업무·이전 단계</t>
  </si>
  <si>
    <t>잊는 일이 있고 알림이 좋을 수 있다고 인정한다.</t>
  </si>
  <si>
    <t>인터뷰어가 제안한 알림에 대해 불편과 효용을 인정한 답변이다.</t>
  </si>
  <si>
    <t>사례와 결과·학습</t>
  </si>
  <si>
    <t>실제 실행, 경험을 설명한 가정, 아직 실행하지 않은 계획, 제안에 대한 반응을 구분해 읽는다.</t>
  </si>
  <si>
    <t>사례 ID</t>
  </si>
  <si>
    <t>사례</t>
  </si>
  <si>
    <t>당시 상황</t>
  </si>
  <si>
    <t>계기</t>
  </si>
  <si>
    <t>고려한 것</t>
  </si>
  <si>
    <t>실제로 한 일·응답</t>
  </si>
  <si>
    <t>결과·현재 상태</t>
  </si>
  <si>
    <t>알게 된 점·정리</t>
  </si>
  <si>
    <t>연결 규칙</t>
  </si>
  <si>
    <t>I01</t>
  </si>
  <si>
    <t>초도 상품 구성</t>
  </si>
  <si>
    <t>실행 회고</t>
  </si>
  <si>
    <t>신규·2층·인접 진료과·과거 근무 경험</t>
  </si>
  <si>
    <t>개국 준비</t>
  </si>
  <si>
    <t>제약사 목록·성분·디자인·가격·이전 선호</t>
  </si>
  <si>
    <t>파스·상비약 등을 준비; 영양제는 많이 들이지 않음</t>
  </si>
  <si>
    <t>파스·상비약 중심으로 초기 구색을 구성했고 영양제는 많이 두지 않았다.</t>
  </si>
  <si>
    <t>과거 경험과 주변 진료과·입지를 조합해 상품을 골랐다.</t>
  </si>
  <si>
    <t>E005,E006,E007,E008,E009,E010,E011</t>
  </si>
  <si>
    <t>R05,R06</t>
  </si>
  <si>
    <t>I02</t>
  </si>
  <si>
    <t>학생 수요 예상과 실판매 차이</t>
  </si>
  <si>
    <t>기대-결과 회고</t>
  </si>
  <si>
    <t>학교·학원가에 위치한 신규 약국</t>
  </si>
  <si>
    <t>개업 후 실제 판매 반응 확인</t>
  </si>
  <si>
    <t>주변 시설·과거 경험</t>
  </si>
  <si>
    <t>청소년 대상 제품 준비</t>
  </si>
  <si>
    <t>청소년 제품과 소화제는 기대보다 덜 팔렸고 감기약은 잘 팔렸다고 설명한다.</t>
  </si>
  <si>
    <t>상권을 보고 세운 예상과 실제 판매 반응이 다름을 알게 됐다.</t>
  </si>
  <si>
    <t>E015,E016</t>
  </si>
  <si>
    <t>I03</t>
  </si>
  <si>
    <t>정형외과 환자 유입 미달</t>
  </si>
  <si>
    <t>같은 건물 정형외과와 2층 약국</t>
  </si>
  <si>
    <t>예상보다 환자가 올라오지 않음</t>
  </si>
  <si>
    <t>기존 약국 이용·입구·후문 경로 설명</t>
  </si>
  <si>
    <t>기존 약국 이용과 입구·후문 경로를 원인으로 설명</t>
  </si>
  <si>
    <t>정형외과 환자 유입이 기대보다 적었다.</t>
  </si>
  <si>
    <t>기존 약국 이용과 동선 인지를 함께 고려하게 되는 사례다.</t>
  </si>
  <si>
    <t>E017,E018,E019,E020</t>
  </si>
  <si>
    <t>I04</t>
  </si>
  <si>
    <t>기존 이비인후과 휴진일의 혼잡</t>
  </si>
  <si>
    <t>반복 경향 회고</t>
  </si>
  <si>
    <t>인근 기존 의원과 신규 의원</t>
  </si>
  <si>
    <t>기존 의원 휴진</t>
  </si>
  <si>
    <t>인근 의원의 진료 여부와 혼잡 경험</t>
  </si>
  <si>
    <t>휴진일과 신규 의원 혼잡의 관계를 관찰</t>
  </si>
  <si>
    <t>인근 기존 이비인후과 휴진일에 신규 의원이 유난히 붐빈다고 말한다.</t>
  </si>
  <si>
    <t>의료기관별 진료 일정이 수요 차이를 만드는 관찰이다.</t>
  </si>
  <si>
    <t>E023,E024,E025,E026</t>
  </si>
  <si>
    <t>I05</t>
  </si>
  <si>
    <t>자주 쓰는 약의 잔여량 점검</t>
  </si>
  <si>
    <t>반복 업무＋근접사례</t>
  </si>
  <si>
    <t>수백 품목 중 자주 쓰는 품목 집중</t>
  </si>
  <si>
    <t>재고 확인 필요</t>
  </si>
  <si>
    <t>실물 위치·체감 소진속도; 전산 조회 가능</t>
  </si>
  <si>
    <t>눈으로 주요 약 확인</t>
  </si>
  <si>
    <t>남은 양으로 오늘·내일을 버틸지 사람이 판단한다.</t>
  </si>
  <si>
    <t>E028,E029,E030,E031,E032</t>
  </si>
  <si>
    <t>R01,R02</t>
  </si>
  <si>
    <t>I06</t>
  </si>
  <si>
    <t>유행기 도매 품절 가정</t>
  </si>
  <si>
    <t>일반 상황</t>
  </si>
  <si>
    <t>설명용 가정</t>
  </si>
  <si>
    <t>감기·독감 수요 급증</t>
  </si>
  <si>
    <t>도매 사이트에서 약 품절</t>
  </si>
  <si>
    <t>현재 재고·공급·현금·유효기간·반품</t>
  </si>
  <si>
    <t>사두기·보유 재고 사용·보충 어려움의 조건을 설명</t>
  </si>
  <si>
    <t>보유 재고를 다 쓰면 추가 공급이 어려워지는 상황을 설명한다.</t>
  </si>
  <si>
    <t>수요·공급·대금·유효기간·반품이 함께 작용하는 가정이다.</t>
  </si>
  <si>
    <t>E033,E034,E035,E036,E038</t>
  </si>
  <si>
    <t>R03,R04</t>
  </si>
  <si>
    <t>과거 약국의 코로나 키트 잔류</t>
  </si>
  <si>
    <t>실행·결과 회고</t>
  </si>
  <si>
    <t>과거 유행 이후 구매</t>
  </si>
  <si>
    <t>코로나 유행 이후 다량 확보</t>
  </si>
  <si>
    <t>당시 유행과 보유 경험</t>
  </si>
  <si>
    <t>키트 다량 확보</t>
  </si>
  <si>
    <t>코로나 유행 이후 수요가 줄어 키트가 오랫동안 남았다.</t>
  </si>
  <si>
    <t>회전율에 따라 재고 보유 부담이 달라지는 과거 경험이다.</t>
  </si>
  <si>
    <t>E039,E040</t>
  </si>
  <si>
    <t>I08</t>
  </si>
  <si>
    <t>보조업무 경고창과 약사 호출</t>
  </si>
  <si>
    <t>인터뷰어 관찰 회고＋응답자 의견</t>
  </si>
  <si>
    <t>인터뷰어가 단기 보조</t>
  </si>
  <si>
    <t>전산 경고창 발생</t>
  </si>
  <si>
    <t>팝업·약사 설명</t>
  </si>
  <si>
    <t>약사에게 반복 문의, 일부 수정 있었다고 인터뷰어 설명</t>
  </si>
  <si>
    <t>약사에게 여러 번 확인하고 일부 처리 내용을 수정했다고 인터뷰어가 설명한다.</t>
  </si>
  <si>
    <t>단순 입력업무에도 약사 확인이 필요한 구간이 있다.</t>
  </si>
  <si>
    <t>E047,E048</t>
  </si>
  <si>
    <t>I09</t>
  </si>
  <si>
    <t>어린이 칫솔 재배치</t>
  </si>
  <si>
    <t>행동·관찰 회고</t>
  </si>
  <si>
    <t>구석 진열·캐릭터 칫솔</t>
  </si>
  <si>
    <t>그날 진열 재정리</t>
  </si>
  <si>
    <t>고객의 행동을 눈으로 관찰</t>
  </si>
  <si>
    <t>기존 음료 자리를 바꿔 계산대 하단에 칫솔 배치</t>
  </si>
  <si>
    <t>아이가 강한 관심을 보였으나 해당 아이는 구매하지 않았다.</t>
  </si>
  <si>
    <t>아이도 칫솔에 관심이 있다는 점을 새로 알았다.</t>
  </si>
  <si>
    <t>E049,E050,E051,E052</t>
  </si>
  <si>
    <t>I10</t>
  </si>
  <si>
    <t>소파 주변 안마봉 판매</t>
  </si>
  <si>
    <t>고객이 앉아 만져볼 수 있는 위치</t>
  </si>
  <si>
    <t>소파 주변에서 제품을 접하고 만져보는 상황</t>
  </si>
  <si>
    <t>고객이 만져보는 행동</t>
  </si>
  <si>
    <t>소파 근처에 제품 배치</t>
  </si>
  <si>
    <t>보유한 안마봉이 전부 팔렸다.</t>
  </si>
  <si>
    <t>만져볼 수 있는 위치와 판매가 함께 등장한 경험이다.</t>
  </si>
  <si>
    <t>I11</t>
  </si>
  <si>
    <t>단골 영양제 구매 메모</t>
  </si>
  <si>
    <t>반복 방식 설명</t>
  </si>
  <si>
    <t>다시 왔을 때 이전 제품을 기억할 필요</t>
  </si>
  <si>
    <t>저번에 먹던 것 요청</t>
  </si>
  <si>
    <t>고객별 메모가 가능하다는 설명</t>
  </si>
  <si>
    <t>영양제 구매 내용 기록하는 방식</t>
  </si>
  <si>
    <t>이전에 산 영양제를 기억하고 다음 상담을 돕는 용도로 설명한다.</t>
  </si>
  <si>
    <t>기록의 효용이 있으면 직접 적을 수 있다는 기준이 드러난다.</t>
  </si>
  <si>
    <t>I12</t>
  </si>
  <si>
    <t>자동 상담 메모 제안과 거부 조건</t>
  </si>
  <si>
    <t>인터뷰 상황</t>
  </si>
  <si>
    <t>제안 반응</t>
  </si>
  <si>
    <t>인터뷰어의 음성 자동기록 아이디어</t>
  </si>
  <si>
    <t>녹음 아닌 요약이라면 가능한지 질문</t>
  </si>
  <si>
    <t>인터뷰 중 제안한 자동 상담메모 방식</t>
  </si>
  <si>
    <t>응답자가 우려와 동의 필요성을 설명</t>
  </si>
  <si>
    <t>건강정보 자동수집과 외부 이용을 우려하며 동의를 전제로 해야 한다는 의견을 냈다.</t>
  </si>
  <si>
    <t>기록의 편의뿐 아니라 수집 방식·목적·보관도 수용조건이다.</t>
  </si>
  <si>
    <t>I13</t>
  </si>
  <si>
    <t>고객 방문순위 제안의 효용 반박</t>
  </si>
  <si>
    <t>현재 관점</t>
  </si>
  <si>
    <t>인터뷰어가 방문자 정렬을 제안</t>
  </si>
  <si>
    <t>기능 필요성 질문</t>
  </si>
  <si>
    <t>품목판매와 개인방문을 비교</t>
  </si>
  <si>
    <t>방문자 랭킹의 효용에 의문 제기</t>
  </si>
  <si>
    <t>고객 방문순위보다 어떤 품목이 팔리는지가 중요하다고 답했다.</t>
  </si>
  <si>
    <t>분석하려는 정보의 실무 목적이 중요하다.</t>
  </si>
  <si>
    <t>과거 인근 약국 재고 전담자</t>
  </si>
  <si>
    <t>과거 인근 약국</t>
  </si>
  <si>
    <t>관찰 회고</t>
  </si>
  <si>
    <t>의약품 구매 규모 큰 운영환경</t>
  </si>
  <si>
    <t>재고 지속 관리 필요</t>
  </si>
  <si>
    <t>담당자의 반복 확인 모습</t>
  </si>
  <si>
    <t>담당자가 아이패드 들고 재고 확인</t>
  </si>
  <si>
    <t>재고 전담자가 있어도 부족한 약을 주변에서 빌리는 일이 있었다.</t>
  </si>
  <si>
    <t>전담자의 존재와 업무에 필요한 분석 역량에 대한 의견을 구분한다.</t>
  </si>
  <si>
    <t>E073,E074,E075</t>
  </si>
  <si>
    <t>유명 브랜드 언급 후 추가 구매</t>
  </si>
  <si>
    <t>상세 사건 회고</t>
  </si>
  <si>
    <t>집에 보유했을 가능성이 높은 약 언급</t>
  </si>
  <si>
    <t>고객이 언급한 브랜드 추가 요청</t>
  </si>
  <si>
    <t>고객 요청·유명도·수익성 인식</t>
  </si>
  <si>
    <t>다른 제품 설명 대신 요청 브랜드 제공</t>
  </si>
  <si>
    <t>고객이 요청한 브랜드를 제공했고 낮은 수익성과 설명 변경 부담을 돌아봤다.</t>
  </si>
  <si>
    <t>이미 언급한 브랜드가 고객의 추가 요청으로 이어졌다.</t>
  </si>
  <si>
    <t>E079,E080,E081,E082</t>
  </si>
  <si>
    <t>I16</t>
  </si>
  <si>
    <t>세트 진열과 AI 제안 논의</t>
  </si>
  <si>
    <t>현재 구상＋타유형</t>
  </si>
  <si>
    <t>미실행 계획·조건부 반응</t>
  </si>
  <si>
    <t>설명에 에너지 소요·고객 선호 상이</t>
  </si>
  <si>
    <t>세트로 먼저 보여주기 생각</t>
  </si>
  <si>
    <t>고객 반응 경험·OTC 구매 규모</t>
  </si>
  <si>
    <t>세트 구상; AI는 약사 참고형으로 재설명</t>
  </si>
  <si>
    <t>세트 진열은 계획이며 AI 정보는 일반약 판매가 많은 약국에 더 유용할 수 있다고 답했다.</t>
  </si>
  <si>
    <t>소비자에게 직접 추천하는 방식과 약사에게 참고정보를 주는 방식을 다르게 받아들인다.</t>
  </si>
  <si>
    <t>E084,E085,E086,E087,E088,E090</t>
  </si>
  <si>
    <t>R12,R14</t>
  </si>
  <si>
    <t>I17</t>
  </si>
  <si>
    <t>영업 중 작업 중단과 기억 누락</t>
  </si>
  <si>
    <t>짧은 틈에 운영업무 수행</t>
  </si>
  <si>
    <t>고객이 불규칙하게 도착</t>
  </si>
  <si>
    <t>현재 업무 처리 방식과 기억 누락 경험</t>
  </si>
  <si>
    <t>업무중단 경험을 설명하고 알림의 효용에 동의</t>
  </si>
  <si>
    <t>하던 일을 잊기도 하며 다시 알려주는 알림이 도움이 될 수 있다고 답했다.</t>
  </si>
  <si>
    <t>중단·재개·완료 상태를 담을 수 있는 근거다.</t>
  </si>
  <si>
    <t>R17,R18</t>
  </si>
  <si>
    <t>휴일 이후 소아환자 집중</t>
  </si>
  <si>
    <t>혼잡 사례 회고</t>
  </si>
  <si>
    <t>명절 다음 날 고객 급증</t>
  </si>
  <si>
    <t>소아환자 집중</t>
  </si>
  <si>
    <t>처방이 서로 다름</t>
  </si>
  <si>
    <t>미리 동일 조제하자는 제안에 불가 설명</t>
  </si>
  <si>
    <t>명절 다음 날 소아환자 집중으로 매우 바빴고 미리 같은 약을 조제하긴 어렵다고 답했다.</t>
  </si>
  <si>
    <t>방문 수와 별도로 조제 내용의 다양성이 업무량에 영향을 준다.</t>
  </si>
  <si>
    <t>E096,E097</t>
  </si>
  <si>
    <t>I19</t>
  </si>
  <si>
    <t>장비 삐 소리 고장·수리</t>
  </si>
  <si>
    <t>고장·수리 회고</t>
  </si>
  <si>
    <t>장비의 잦은 소리 원인을 묻는 대화</t>
  </si>
  <si>
    <t>원인 질문</t>
  </si>
  <si>
    <t>응답자의 고장 및 수리 설명</t>
  </si>
  <si>
    <t>고장이었고 수리했다고 설명</t>
  </si>
  <si>
    <t>해당 장비 고장은 수리한 상태라고 답했다.</t>
  </si>
  <si>
    <t>장비 상태는 수리 전과 수리 후를 나눠 기록한다.</t>
  </si>
  <si>
    <t>항목 사이의 관계</t>
  </si>
  <si>
    <t>관계로 묶어볼 수 있는 예시다. 온톨로지·DB 구조나 구현 방식을 팀 확정안으로 지정하지 않는다.</t>
  </si>
  <si>
    <t>시작 항목</t>
  </si>
  <si>
    <t>관계</t>
  </si>
  <si>
    <t>관계가 뜻하는 것</t>
  </si>
  <si>
    <t>관련 변수</t>
  </si>
  <si>
    <t>운영자</t>
  </si>
  <si>
    <t>operates</t>
  </si>
  <si>
    <t>운영 역할</t>
  </si>
  <si>
    <t>P004,P006</t>
  </si>
  <si>
    <t>has_experience_at</t>
  </si>
  <si>
    <t>과거 약국</t>
  </si>
  <si>
    <t>과거 경험</t>
  </si>
  <si>
    <t>P008,L007</t>
  </si>
  <si>
    <t>약국</t>
  </si>
  <si>
    <t>has_access</t>
  </si>
  <si>
    <t>입지·접근 경로</t>
  </si>
  <si>
    <t>층수·후문·엘리베이터·인지</t>
  </si>
  <si>
    <t>P001,P013,P014</t>
  </si>
  <si>
    <t>co_located_with</t>
  </si>
  <si>
    <t>의료기관</t>
  </si>
  <si>
    <t>같은 건물 관계</t>
  </si>
  <si>
    <t>P010,P011,P012</t>
  </si>
  <si>
    <t>has_schedule</t>
  </si>
  <si>
    <t>진료 일정</t>
  </si>
  <si>
    <t>기관별 일정</t>
  </si>
  <si>
    <t>X002,X003</t>
  </si>
  <si>
    <t>휴진일</t>
  </si>
  <si>
    <t>associated_with</t>
  </si>
  <si>
    <t>신규 의원 혼잡</t>
  </si>
  <si>
    <t>인터뷰에서 설명한 관계</t>
  </si>
  <si>
    <t>X003,E025</t>
  </si>
  <si>
    <t>holds</t>
  </si>
  <si>
    <t>재고</t>
  </si>
  <si>
    <t>품목별 재고 상태</t>
  </si>
  <si>
    <t>S001,S002,S005,S008</t>
  </si>
  <si>
    <t>거래처</t>
  </si>
  <si>
    <t>has_condition</t>
  </si>
  <si>
    <t>반품·결제</t>
  </si>
  <si>
    <t>거래조건</t>
  </si>
  <si>
    <t>C002,C003,C005</t>
  </si>
  <si>
    <t>상품</t>
  </si>
  <si>
    <t>has_context</t>
  </si>
  <si>
    <t>용도·포장 인식</t>
  </si>
  <si>
    <t>여러 진열·고객 맥락</t>
  </si>
  <si>
    <t>E066,E067</t>
  </si>
  <si>
    <t>진열 변경</t>
  </si>
  <si>
    <t>moves</t>
  </si>
  <si>
    <t>이전·이후 위치</t>
  </si>
  <si>
    <t>S017,I09</t>
  </si>
  <si>
    <t>has_response</t>
  </si>
  <si>
    <t>관심·구매·판매</t>
  </si>
  <si>
    <t>서로 구별하는 반응</t>
  </si>
  <si>
    <t>L003,L004,L005</t>
  </si>
  <si>
    <t>판단</t>
  </si>
  <si>
    <t>uses</t>
  </si>
  <si>
    <t>정보</t>
  </si>
  <si>
    <t>확인한 정보원</t>
  </si>
  <si>
    <t>D005,D006,D007</t>
  </si>
  <si>
    <t>considers</t>
  </si>
  <si>
    <t>목표·제약</t>
  </si>
  <si>
    <t>대금·공간·마진·신뢰 등</t>
  </si>
  <si>
    <t>C001,C006,D001,D002,D003,D004</t>
  </si>
  <si>
    <t>고객 도착</t>
  </si>
  <si>
    <t>interrupts</t>
  </si>
  <si>
    <t>운영업무</t>
  </si>
  <si>
    <t>하던 일 중단</t>
  </si>
  <si>
    <t>X008,S020</t>
  </si>
  <si>
    <t>행동</t>
  </si>
  <si>
    <t>followed_by</t>
  </si>
  <si>
    <t>결과</t>
  </si>
  <si>
    <t>실행 뒤 관찰</t>
  </si>
  <si>
    <t>I01~I19</t>
  </si>
  <si>
    <t>관찰 결과</t>
  </si>
  <si>
    <t>informs</t>
  </si>
  <si>
    <t>인식 변화</t>
  </si>
  <si>
    <t>새롭게 알게 된 점</t>
  </si>
  <si>
    <t>L001,L002,L003,L009</t>
  </si>
  <si>
    <t>장비 수리</t>
  </si>
  <si>
    <t>updates</t>
  </si>
  <si>
    <t>고장 후 수리 상태</t>
  </si>
  <si>
    <t>S021,L012</t>
  </si>
  <si>
    <t>계획</t>
  </si>
  <si>
    <t>describes</t>
  </si>
  <si>
    <t>시도할 행동</t>
  </si>
  <si>
    <t>실행과 구분하는 구상</t>
  </si>
  <si>
    <t>현재 인터뷰 기반 페르소나 정리</t>
  </si>
  <si>
    <t>구분</t>
  </si>
  <si>
    <t>정리 내용</t>
  </si>
  <si>
    <t>세부 설명</t>
  </si>
  <si>
    <t>근거·사례</t>
  </si>
  <si>
    <t>기본 상황</t>
  </si>
  <si>
    <t>개업 초기의 처방 방문 연계형 약국 운영자</t>
  </si>
  <si>
    <t>2층, 인터뷰 당시 개업 약 3주, 약사 2인 운영</t>
  </si>
  <si>
    <t>P001,P002,P004</t>
  </si>
  <si>
    <t>E001,E002,U001</t>
  </si>
  <si>
    <t>주요 처방 맥락은 정형외과·신규 이비인후과</t>
  </si>
  <si>
    <t>교정 중심 치과도 같은 건물에 있다. 기존 의원과 신규 의원의 인지도·환자 기반이 다르다.</t>
  </si>
  <si>
    <t>E002,E003,E004,E014</t>
  </si>
  <si>
    <t>접근성과 방문</t>
  </si>
  <si>
    <t>워크인 유입이 적고 약국으로 오는 동선 인지가 낮음</t>
  </si>
  <si>
    <t>기존 정형외과 환자의 타약국 이용, 후문·엘리베이터 경로, 학교·학원가를 함께 둔다.</t>
  </si>
  <si>
    <t>P013,P014,P015,P020</t>
  </si>
  <si>
    <t>E012,E013,E015,E018,E019</t>
  </si>
  <si>
    <t>수요와 상품</t>
  </si>
  <si>
    <t>처방 방문 중심, 일반약은 방문 중 추가 구매를 기대</t>
  </si>
  <si>
    <t>파스·상비약 중심으로 시작; 영양제는 많이 두지 않음. 일반약 구매자는 하루 약 10~15명이라는 표현이다.</t>
  </si>
  <si>
    <t>P018,S013,S016</t>
  </si>
  <si>
    <t>E009,E010,E011,E088</t>
  </si>
  <si>
    <t>자금·재고</t>
  </si>
  <si>
    <t>품절을 우려하지만 재고를 무한정 사두기 어려움</t>
  </si>
  <si>
    <t>초기 구매대금 부담, 유효기간, 반품조건, 공간을 함께 고려한다.</t>
  </si>
  <si>
    <t>C001,C003,C006,C008</t>
  </si>
  <si>
    <t>E033,E034,E035,E038</t>
  </si>
  <si>
    <t>정보 사용</t>
  </si>
  <si>
    <t>전산 조회와 실물 확인을 병행</t>
  </si>
  <si>
    <t>품목은 수백 가지이며 주요 약은 눈으로 보는 게 빠르다. 과거 경험·제약사 자료도 참고한다.</t>
  </si>
  <si>
    <t>S001,S002,S005,D005,D007</t>
  </si>
  <si>
    <t>E006,E007,E030,E031</t>
  </si>
  <si>
    <t>판단 방식</t>
  </si>
  <si>
    <t>남은 재고로 오늘·내일을 버틸지 판단</t>
  </si>
  <si>
    <t>정해진 발주 산식보다 현장의 체감과 조건을 설명한다.</t>
  </si>
  <si>
    <t>상품·고객 판단</t>
  </si>
  <si>
    <t>상품의 성분·가격·디자인·마진과 고객의 반응을 함께 봄</t>
  </si>
  <si>
    <t>여러 용도로 쓰이는 상품의 진열, 추가 권유의 설명 부담, 고객별 요청 차이를 고려한다.</t>
  </si>
  <si>
    <t>D003,D004,D007,X009</t>
  </si>
  <si>
    <t>E006,E008,E066,E067,E081,E084</t>
  </si>
  <si>
    <t>손님이 없는 짧은 틈에 업무를 처리</t>
  </si>
  <si>
    <t>고객 응대로 중단되면 잊기도 한다. 알림이 도움이 될 수 있다는 반응을 보였다.</t>
  </si>
  <si>
    <t>S020,D013</t>
  </si>
  <si>
    <t>기록과 도구</t>
  </si>
  <si>
    <t>상품판매 정보와 다음 상담의 효용을 중시</t>
  </si>
  <si>
    <t>구매 이력 자동 연결은 없고 필요 시 수기 메모를 사용한다. 비동의 자동 건강정보 수집은 우려한다.</t>
  </si>
  <si>
    <t>S022,D008,D009,C013</t>
  </si>
  <si>
    <t>E055,E056,E057,E061,E065</t>
  </si>
  <si>
    <t>AI에 대한 반응</t>
  </si>
  <si>
    <t>약사의 판단을 대신하는 방식보다 참고정보 제공의 쓰임을 설명</t>
  </si>
  <si>
    <t>판매·마진 참고정보는 일반약 판매가 많은 곳에서 유용할 수 있다고 답했다.</t>
  </si>
  <si>
    <t>현재 약국의 경험</t>
  </si>
  <si>
    <t>학생상품·정형외과 유입의 예상 차이, 칫솔 관심, 안마봉 판매</t>
  </si>
  <si>
    <t>관심·구매·판매·계획 상태를 나누어 보관한다.</t>
  </si>
  <si>
    <t>L001~L006,L008~L010</t>
  </si>
  <si>
    <t>I02,I03,I09,I10,I15,I16</t>
  </si>
  <si>
    <t>과거 경험과 비교</t>
  </si>
  <si>
    <t>이전 약국의 코로나 키트 장기재고, 대형약국의 재고 담당자</t>
  </si>
  <si>
    <t>응답자의 경험으로 연결하되 현재 약국의 재고·직원 값과는 분리한다.</t>
  </si>
  <si>
    <t>P008,L007,L011</t>
  </si>
  <si>
    <t>I07,I14,E090</t>
  </si>
  <si>
    <t>원래 인터뷰 설계안과의 연결</t>
  </si>
  <si>
    <t>HTML 질문의 취지를 실제 기록과 연결했다. 질문·검증을 모두 계획대로 수행했다는 의미는 아니며 참고용으로만 사용한다.</t>
  </si>
  <si>
    <t>질문 ID</t>
  </si>
  <si>
    <t>원래 질문의 취지</t>
  </si>
  <si>
    <t>실제 인터뷰에서 연결되는 내용</t>
  </si>
  <si>
    <t>근거</t>
  </si>
  <si>
    <t>활용 범위</t>
  </si>
  <si>
    <t>A1</t>
  </si>
  <si>
    <t>역할 분담·결정 권한</t>
  </si>
  <si>
    <t>개국 준비와 운영 전반에 직접 관여; 약사 2인 운영은 사용자 보완</t>
  </si>
  <si>
    <t>P004,P006,C009,C010</t>
  </si>
  <si>
    <t>E005,E046,E048,E069,U001</t>
  </si>
  <si>
    <t>운영자의 업무 범위</t>
  </si>
  <si>
    <t>A2</t>
  </si>
  <si>
    <t>예상과 실제의 차이</t>
  </si>
  <si>
    <t>학생 대상 제품·정형외과 유입이 기대보다 적음</t>
  </si>
  <si>
    <t>L001,L002</t>
  </si>
  <si>
    <t>E015,E017,E018,E019</t>
  </si>
  <si>
    <t>초기 예상과 관찰 결과</t>
  </si>
  <si>
    <t>A3</t>
  </si>
  <si>
    <t>입지·주변 환경</t>
  </si>
  <si>
    <t>2층·입구·동선·학교와 학원가·주변 의원</t>
  </si>
  <si>
    <t>P001,P010,P011,P013,P014,P015</t>
  </si>
  <si>
    <t>E002,E013,E014,E015,E019</t>
  </si>
  <si>
    <t>약국의 운영 맥락</t>
  </si>
  <si>
    <t>A4</t>
  </si>
  <si>
    <t>고객과 시간대</t>
  </si>
  <si>
    <t>워크인 적음; 점심시간 의료기관 직원 방문; 주말·휴일 집중</t>
  </si>
  <si>
    <t>P020,S013,X001</t>
  </si>
  <si>
    <t>E012,E021,E026,E088</t>
  </si>
  <si>
    <t>방문 목적과 수요 패턴</t>
  </si>
  <si>
    <t>A5</t>
  </si>
  <si>
    <t>평소와 달랐던 날</t>
  </si>
  <si>
    <t>기존 이비인후과 휴진일의 혼잡; 명절 다음 날 소아환자 집중</t>
  </si>
  <si>
    <t>X003,S019</t>
  </si>
  <si>
    <t>E025,E096,E097</t>
  </si>
  <si>
    <t>수요변동 사례</t>
  </si>
  <si>
    <t>B1</t>
  </si>
  <si>
    <t>반복되는 판단</t>
  </si>
  <si>
    <t>재고·발주, 상품선정·진열, 인력·상담·운영업무</t>
  </si>
  <si>
    <t>D005,D006,D007,D013</t>
  </si>
  <si>
    <t>E029,E049,E069,E093</t>
  </si>
  <si>
    <t>판단 영역 목록</t>
  </si>
  <si>
    <t>C</t>
  </si>
  <si>
    <t>구체적 사례 복기</t>
  </si>
  <si>
    <t>초도 상품선정, 칫솔·안마봉, 브랜드 요청, 과거 키트 등</t>
  </si>
  <si>
    <t>E005~E098 중 해당 사례</t>
  </si>
  <si>
    <t>상황·행동·결과·학습</t>
  </si>
  <si>
    <t>D1</t>
  </si>
  <si>
    <t>보는 숫자·화면·정보원</t>
  </si>
  <si>
    <t>전산 재고·매출, 실제 선반, 제약사 목록, 과거 경험</t>
  </si>
  <si>
    <t>S001,S002,P008,P022</t>
  </si>
  <si>
    <t>E006,E007,E030,E059,E063</t>
  </si>
  <si>
    <t>판단에 쓰는 정보</t>
  </si>
  <si>
    <t>D2</t>
  </si>
  <si>
    <t>있어도 잘 쓰지 않는 정보</t>
  </si>
  <si>
    <t>주력품목은 전산보다 실물 확인이 빠름; 전산 재고 오차</t>
  </si>
  <si>
    <t>C014,D005</t>
  </si>
  <si>
    <t>E030,E042,E043</t>
  </si>
  <si>
    <t>조회·신뢰·활용의 차이</t>
  </si>
  <si>
    <t>D3</t>
  </si>
  <si>
    <t>알기 어려운 정보</t>
  </si>
  <si>
    <t>수요의 급변, 거래처 품절, 충분한 판매 이력</t>
  </si>
  <si>
    <t>X005,X006,C015</t>
  </si>
  <si>
    <t>E027,E033,E037,E064</t>
  </si>
  <si>
    <t>판단에 필요한 추가 정보</t>
  </si>
  <si>
    <t>D4</t>
  </si>
  <si>
    <t>어려움과 현재 대응</t>
  </si>
  <si>
    <t>재고·현금·반품, 상담·설명 부담, 운영업무 중단</t>
  </si>
  <si>
    <t>C001,C003,C012,C016,S020</t>
  </si>
  <si>
    <t>E034,E038,E077,E081,E094</t>
  </si>
  <si>
    <t>업무 제약과 대응</t>
  </si>
  <si>
    <t>V</t>
  </si>
  <si>
    <t>새 상황에 대한 응답</t>
  </si>
  <si>
    <t>원래 설계의 검증용 질문 위치. 이번 정리에서는 실제 사례와 가정을 각자의 성격대로 기록</t>
  </si>
  <si>
    <t>별도 검증에 사용할 수 있는 틀</t>
  </si>
  <si>
    <t>H0: V 질문 및 검증 섹션</t>
  </si>
  <si>
    <t>향후 검증을 선택할 때 참고</t>
  </si>
  <si>
    <t>E1</t>
  </si>
  <si>
    <t>AI가 알아야 할 정보</t>
  </si>
  <si>
    <t>약국별 운영 중심과 AI가 약사에게 제공할 정보의 범위</t>
  </si>
  <si>
    <t>P018,D009,D010,D011</t>
  </si>
  <si>
    <t>E065,E086,E087,E089</t>
  </si>
  <si>
    <t>필요 정보와 역할</t>
  </si>
  <si>
    <t>E2</t>
  </si>
  <si>
    <t>AI가 놓치기 쉬운 지점</t>
  </si>
  <si>
    <t>건강정보 자동기록의 거부감, 고객 선택 차이, 전문가 역할</t>
  </si>
  <si>
    <t>C013,X009,D010</t>
  </si>
  <si>
    <t>E061,E084,E086</t>
  </si>
  <si>
    <t>수용조건과 판단 맥락</t>
  </si>
  <si>
    <t>E3</t>
  </si>
  <si>
    <t>다른 약국과의 차이</t>
  </si>
  <si>
    <t>과거 대형약국, 처방·일반약 중심, 창고형 고객 선택 비교</t>
  </si>
  <si>
    <t>E073~E076,E089,E090</t>
  </si>
  <si>
    <t>유형 비교의 근거</t>
  </si>
  <si>
    <t>정량 계산 시 준비할 상황 입력</t>
  </si>
  <si>
    <t>시나리오를 정한 뒤 필요한 묶음만 채운다. 아래 숫자가 없어도 현재 약국의 정성적 특성과 판단 기준은 읽고 사용할 수 있다.</t>
  </si>
  <si>
    <t>묶음 ID</t>
  </si>
  <si>
    <t>필요한 입력</t>
  </si>
  <si>
    <t>상황에 넣을 값</t>
  </si>
  <si>
    <t>언제 필요한가</t>
  </si>
  <si>
    <t>인터뷰로 파악한 부분</t>
  </si>
  <si>
    <t>값을 준비하는 방법</t>
  </si>
  <si>
    <t>T1</t>
  </si>
  <si>
    <t>재고와 최근 사용량</t>
  </si>
  <si>
    <t>현재 수량, 단위, 최근 사용량 또는 체감 잔여기간</t>
  </si>
  <si>
    <t>품목 단위 발주량·소진기간을 계산할 때</t>
  </si>
  <si>
    <t>전산 조회와 실물 확인 방식은 확보</t>
  </si>
  <si>
    <t>품목 집계 또는 명시한 가상 수량</t>
  </si>
  <si>
    <t>T2</t>
  </si>
  <si>
    <t>일정과 주문 가능성</t>
  </si>
  <si>
    <t>시나리오 날짜, 해당 의원 진료 여부, 거래처 주문 가능 여부</t>
  </si>
  <si>
    <t>휴일·휴진·공급 품절 상황을 비교할 때</t>
  </si>
  <si>
    <t>기존 이비인후과 휴진·휴일 수요 경험은 확보</t>
  </si>
  <si>
    <t>기관별 일정·거래처 정보 또는 가상 조건</t>
  </si>
  <si>
    <t>X001,X002,X003,X006</t>
  </si>
  <si>
    <t>T3</t>
  </si>
  <si>
    <t>구매 여력과 거래조건</t>
  </si>
  <si>
    <t>구매 가능 금액, 결제 시점, 적용 반품조건·잔여기간</t>
  </si>
  <si>
    <t>구매대금·반품 손실을 계산할 때</t>
  </si>
  <si>
    <t>초기 대금 부담과 거래조건의 종류는 확보</t>
  </si>
  <si>
    <t>구간값·실제 거래조건 또는 가상 조건</t>
  </si>
  <si>
    <t>C001,C002,C003,C005,C008,S011</t>
  </si>
  <si>
    <t>T4</t>
  </si>
  <si>
    <t>진열·상품 결과</t>
  </si>
  <si>
    <t>변경 위치·기간, 상품별 판매수량, 관심 관찰, 가격·원가</t>
  </si>
  <si>
    <t>진열이나 상품 구성의 전후 반응을 비교할 때</t>
  </si>
  <si>
    <t>칫솔·안마봉의 실제 사례는 확보</t>
  </si>
  <si>
    <t>개인 식별 없는 상품 집계와 배치 기록</t>
  </si>
  <si>
    <t>S007,S016,S017,S023,L003,L004,L005</t>
  </si>
  <si>
    <t>T5</t>
  </si>
  <si>
    <t>근무와 업무 진행</t>
  </si>
  <si>
    <t>현재 근무자별 역할·경험, 중단한 일, 남은 작업</t>
  </si>
  <si>
    <t>인력 공백·업무 누락 상황을 다룰 때</t>
  </si>
  <si>
    <t>약사 2인, 보조 교육, 틈새업무 방식은 확보</t>
  </si>
  <si>
    <t>해당 상황의 근무·작업 상태</t>
  </si>
  <si>
    <t>P004,C009,C010,S019,S020</t>
  </si>
  <si>
    <t>T6</t>
  </si>
  <si>
    <t>기간 지표</t>
  </si>
  <si>
    <t>측정기간과 분모를 정한 처방·일반약 매출 구성 및 결과</t>
  </si>
  <si>
    <t>약국 간 비중 비교나 경영성과를 볼 때</t>
  </si>
  <si>
    <t>처방 중심이라는 정성 설명과 일반약 구매 규모는 확보</t>
  </si>
  <si>
    <t>기간 집계값; 실제 값이 없으면 해당 계산을 생략</t>
  </si>
  <si>
    <t>P018,S013,D003</t>
  </si>
  <si>
    <t>추가 데이터 연결 참고</t>
  </si>
  <si>
    <t>소스 ID</t>
  </si>
  <si>
    <t>데이터</t>
  </si>
  <si>
    <t>인터뷰로 파악한 내용</t>
  </si>
  <si>
    <t>팀 리서치 위치·자료</t>
  </si>
  <si>
    <t>추가로 채울 부분</t>
  </si>
  <si>
    <t>DS01</t>
  </si>
  <si>
    <t>의료기관·약국 관계</t>
  </si>
  <si>
    <t>P010,P011,P012,P013</t>
  </si>
  <si>
    <t>인터뷰에 현재 건물·진료과·동선 설명이 있음</t>
  </si>
  <si>
    <t>팀 데이터소스 파일: 약국 리서치!D102:E105, D113:D123</t>
  </si>
  <si>
    <t>주소·기관 ID·주변 기관 연결 보완</t>
  </si>
  <si>
    <t>주소가 같다는 것과 실제 처방 유입은 구별한다.</t>
  </si>
  <si>
    <t>DS02</t>
  </si>
  <si>
    <t>기관별 진료·휴진</t>
  </si>
  <si>
    <t>기존 의원 휴진과 신규 의원 혼잡 설명이 있음</t>
  </si>
  <si>
    <t>기관 공지·일정 자료와 대조할 수 있는 항목</t>
  </si>
  <si>
    <t>비교할 날짜·기관의 운영 여부</t>
  </si>
  <si>
    <t>정규 시간표와 임시휴진을 나눠 확인한다.</t>
  </si>
  <si>
    <t>DS03</t>
  </si>
  <si>
    <t>지역 의약품 사용</t>
  </si>
  <si>
    <t>X005,X011</t>
  </si>
  <si>
    <t>질병 유행에 따른 수요·공급 변화 설명이 있음</t>
  </si>
  <si>
    <t>팀 데이터소스 파일: 약국 리서치!D63:E66</t>
  </si>
  <si>
    <t>지역·기간별 수요 맥락</t>
  </si>
  <si>
    <t>지역 사용량은 이 약국의 실제 판매량과 구분한다.</t>
  </si>
  <si>
    <t>DS04</t>
  </si>
  <si>
    <t>상권 매출·고객층</t>
  </si>
  <si>
    <t>P015,X011</t>
  </si>
  <si>
    <t>학교·학원가 예상과 실제 반응 차이 사례가 있음</t>
  </si>
  <si>
    <t>팀 데이터소스 파일: 약국 리서치!D72:E75</t>
  </si>
  <si>
    <t>상권 수준의 비교 자료</t>
  </si>
  <si>
    <t>원자료의 지역·기간 범위에 맞춰 사용한다.</t>
  </si>
  <si>
    <t>DS05</t>
  </si>
  <si>
    <t>공급중단·회수 정보</t>
  </si>
  <si>
    <t>주문처 품절에 대한 설명이 있음</t>
  </si>
  <si>
    <t>팀 데이터소스 파일: 약국 리서치!D49:E52</t>
  </si>
  <si>
    <t>제품별 공급 사건 참고</t>
  </si>
  <si>
    <t>공식 공급 사건과 거래처의 실시간 품절은 서로 다른 상태다.</t>
  </si>
  <si>
    <t>DS06</t>
  </si>
  <si>
    <t>전산 재고·판매</t>
  </si>
  <si>
    <t>S001,S002,S007,S013</t>
  </si>
  <si>
    <t>재고 조회·기본 매출 기능과 사용 경험이 있음</t>
  </si>
  <si>
    <t>팀 데이터소스 파일: 약국 리서치!D81:E84 / 실제 약국 전산</t>
  </si>
  <si>
    <t>선택한 품목·기간의 수량·판매 집계</t>
  </si>
  <si>
    <t>조회 기능 설명과 추출한 수치는 구분해 기록한다.</t>
  </si>
  <si>
    <t>DS07</t>
  </si>
  <si>
    <t>반품·결제 조건</t>
  </si>
  <si>
    <t>C001,C002,C003,C005</t>
  </si>
  <si>
    <t>조건 종류와 결제 부담은 인터뷰에 있음</t>
  </si>
  <si>
    <t>약국·거래처의 해당 조건</t>
  </si>
  <si>
    <t>적용 거래처·품목의 실제 조건</t>
  </si>
  <si>
    <t>조건 예시를 모든 거래처의 공통 수치로 쓰지 않는다.</t>
  </si>
  <si>
    <t>DS08</t>
  </si>
  <si>
    <t>상품 식별·제품 정보</t>
  </si>
  <si>
    <t>S016,D007</t>
  </si>
  <si>
    <t>성분·가격·디자인·제약사 목록으로 상품 비교</t>
  </si>
  <si>
    <t>팀 데이터소스 파일: 약국 리서치!D22:D24, D31:D43, D105</t>
  </si>
  <si>
    <t>상품 코드·성분·포장 등 식별정보</t>
  </si>
  <si>
    <t>이 문서는 제품 식별과 인터뷰의 경영 맥락을 다룬다.</t>
  </si>
  <si>
    <t>DS09</t>
  </si>
  <si>
    <t>진열·관심·판매</t>
  </si>
  <si>
    <t>위치 변경·관심·판매 사례가 있음</t>
  </si>
  <si>
    <t>필요 시 남길 매대 변경기록·상품 집계</t>
  </si>
  <si>
    <t>전후 위치와 기간별 반응</t>
  </si>
  <si>
    <t>관심과 구매를 별도 항목으로 기록한다.</t>
  </si>
  <si>
    <t>DS10</t>
  </si>
  <si>
    <t>업무 진행·중단</t>
  </si>
  <si>
    <t>S019,S020,D013</t>
  </si>
  <si>
    <t>영업 중 짧은 틈에 일하고 중단 시 잊는다는 설명</t>
  </si>
  <si>
    <t>필요 시 남길 간단한 작업 상태</t>
  </si>
  <si>
    <t>작업의 시작·중단·완료</t>
  </si>
  <si>
    <t>기록 방식은 실제 업무 부담을 고려해 정한다.</t>
  </si>
  <si>
    <t>후속 활용 예시</t>
  </si>
  <si>
    <t>상황 비교·다른 유형 검토·검증 등에 사용할 수 있는 예시다. 현재 팀의 구현 방식이나 역할 분담을 정한 내용은 아니다.</t>
  </si>
  <si>
    <t>활용 방식</t>
  </si>
  <si>
    <t>살펴볼 점</t>
  </si>
  <si>
    <t>참조 항목</t>
  </si>
  <si>
    <t>비고</t>
  </si>
  <si>
    <t>예시 1</t>
  </si>
  <si>
    <t>재고 판단</t>
  </si>
  <si>
    <t>현재 약국의 맥락과 R01~R04를 두고 재고·기관 일정·공급 가능성을 달리한다.</t>
  </si>
  <si>
    <t>무엇을 확인하고 어떤 제약을 고려하는지 본다.</t>
  </si>
  <si>
    <t>T1,T2,T3</t>
  </si>
  <si>
    <t>수치 발주량을 계산하려면 실제 또는 명시한 가상 수량이 필요하다.</t>
  </si>
  <si>
    <t>예시 2</t>
  </si>
  <si>
    <t>진열·상품 구성</t>
  </si>
  <si>
    <t>칫솔·안마봉 사례와 초도 상품선정 기준을 참고한다.</t>
  </si>
  <si>
    <t>관심과 구매를 구분하며 성분·포장·공간·마진을 함께 보는지 살핀다.</t>
  </si>
  <si>
    <t>기존 사례에 없던 판매 증가를 실제 성과로 추가하지 않는다.</t>
  </si>
  <si>
    <t>예시 3</t>
  </si>
  <si>
    <t>업무중단·인력</t>
  </si>
  <si>
    <t>손님이 없는 틈의 업무, 지원인력의 경험, 약사 확인업무를 조건으로 둔다.</t>
  </si>
  <si>
    <t>같은 인원이어도 수행 가능한 업무와 미완료 상태를 구분하는지 본다.</t>
  </si>
  <si>
    <t>알림은 제안에 대한 반응이며 실제 사용 결과와는 구별한다.</t>
  </si>
  <si>
    <t>비교 축</t>
  </si>
  <si>
    <t>처방·일반약 중심</t>
  </si>
  <si>
    <t>현 인터뷰를 기초로 다른 비중의 운영 상황을 비교할 수 있다.</t>
  </si>
  <si>
    <t>우선 고려하는 재고·상품·진열 문제가 달라지는지 탐색한다.</t>
  </si>
  <si>
    <t>P018,E089</t>
  </si>
  <si>
    <t>대조 페르소나를 추가할지와 값은 팀이 선택한다.</t>
  </si>
  <si>
    <t>운영 이력</t>
  </si>
  <si>
    <t>같은 약국에서도 이력이 짧은 때와 쌓인 때를 비교할 수 있다.</t>
  </si>
  <si>
    <t>과거 경험·실제 판매 반응을 어떻게 참고하는지 본다.</t>
  </si>
  <si>
    <t>P002,P008,L009</t>
  </si>
  <si>
    <t>실제 미래 결과를 예측한 것으로 취급하지 않는다.</t>
  </si>
  <si>
    <t>독립된 시나리오 응답</t>
  </si>
  <si>
    <t>별도 검증을 하기로 정하면 새 상황에서 실제 운영자 응답을 받는다.</t>
  </si>
  <si>
    <t>선택·근거·추가 확인·우선순위를 비교할 수 있다.</t>
  </si>
  <si>
    <t>H0: 검증 섹션</t>
  </si>
  <si>
    <t>이 항목은 원래 설계안의 참고 절차이며 이번 팀 확정안이 아니다.</t>
  </si>
  <si>
    <t xml:space="preserve">인터뷰 당시 개업 약 3주. 개업일: 26.09.09 </t>
    <phoneticPr fontId="11" type="noConversion"/>
  </si>
  <si>
    <t>처음 읽을 때 이 시트부터 보면 된다. 인터뷰 대상 약국과 응답자의 경험을 묶은 설명이며 대표 페르소나 선정은 필요시 별도 논의한다.</t>
    <phoneticPr fontId="11" type="noConversion"/>
  </si>
  <si>
    <t>기존 팀 리서치에서 확인한 소스와 연결 항목을 정리했다. 실제 수령·API 연동을 완료했다는 뜻은 아니다.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</si>
</sst>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263645"/>
      <name val="Noto Sans CJK KR"/>
    </font>
    <font>
      <b/>
      <sz val="18"/>
      <color rgb="FFFFFFFF"/>
      <name val="Noto Sans CJK KR"/>
    </font>
    <font>
      <sz val="10"/>
      <color rgb="FF637282"/>
      <name val="Noto Sans CJK KR"/>
    </font>
    <font>
      <b/>
      <sz val="10"/>
      <color rgb="FFFFFFFF"/>
      <name val="Noto Sans CJK KR"/>
    </font>
    <font>
      <b/>
      <sz val="10"/>
      <color rgb="FF226D72"/>
      <name val="Noto Sans CJK KR"/>
    </font>
    <font>
      <b/>
      <sz val="19"/>
      <color rgb="FFFFFFFF"/>
      <name val="Noto Sans CJK KR"/>
    </font>
    <font>
      <b/>
      <sz val="24"/>
      <color rgb="FF20364F"/>
      <name val="Noto Sans CJK KR"/>
    </font>
    <font>
      <b/>
      <sz val="13"/>
      <color rgb="FF20364F"/>
      <name val="Noto Sans CJK KR"/>
    </font>
    <font>
      <sz val="10"/>
      <color rgb="FF226D72"/>
      <name val="Noto Sans CJK KR"/>
    </font>
    <font>
      <sz val="11"/>
      <name val="Carlito"/>
    </font>
    <font>
      <sz val="8"/>
      <name val="Noto Sans KR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0364F"/>
      </patternFill>
    </fill>
    <fill>
      <patternFill patternType="solid">
        <fgColor rgb="FFF3F6F8"/>
      </patternFill>
    </fill>
    <fill>
      <patternFill patternType="solid">
        <fgColor rgb="FF226D72"/>
      </patternFill>
    </fill>
    <fill>
      <patternFill patternType="solid">
        <fgColor rgb="FFF3F7F8"/>
      </patternFill>
    </fill>
    <fill>
      <patternFill patternType="solid">
        <fgColor rgb="FFF2F6F7"/>
      </patternFill>
    </fill>
    <fill>
      <patternFill patternType="solid">
        <fgColor rgb="FFE7F0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8">
    <xf numFmtId="0" fontId="0" fillId="0" borderId="0" xfId="0"/>
    <xf numFmtId="0" fontId="1" fillId="2" borderId="0" xfId="1" applyFont="1" applyFill="1" applyAlignment="1">
      <alignment vertical="center" wrapText="1"/>
    </xf>
    <xf numFmtId="0" fontId="4" fillId="5" borderId="0" xfId="1" applyFont="1" applyFill="1" applyAlignment="1">
      <alignment vertical="center" wrapText="1"/>
    </xf>
    <xf numFmtId="0" fontId="1" fillId="6" borderId="0" xfId="1" applyFont="1" applyFill="1" applyAlignment="1">
      <alignment vertical="center" wrapText="1"/>
    </xf>
    <xf numFmtId="0" fontId="5" fillId="6" borderId="0" xfId="1" applyFont="1" applyFill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5" fillId="6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4" fillId="5" borderId="0" xfId="1" applyFont="1" applyFill="1" applyAlignment="1">
      <alignment vertical="center" wrapText="1"/>
    </xf>
    <xf numFmtId="0" fontId="7" fillId="8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vertical="center" wrapText="1"/>
    </xf>
    <xf numFmtId="0" fontId="1" fillId="6" borderId="0" xfId="1" applyFont="1" applyFill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rmacy_01" displayName="Pharmacy_01" ref="A5:H103" totalsRowShown="0">
  <tableColumns count="8">
    <tableColumn id="1" xr3:uid="{00000000-0010-0000-0000-000001000000}" name="근거 ID"/>
    <tableColumn id="2" xr3:uid="{00000000-0010-0000-0000-000002000000}" name="주제"/>
    <tableColumn id="3" xr3:uid="{00000000-0010-0000-0000-000003000000}" name="적용 대상"/>
    <tableColumn id="4" xr3:uid="{00000000-0010-0000-0000-000004000000}" name="기록 성격"/>
    <tableColumn id="5" xr3:uid="{00000000-0010-0000-0000-000005000000}" name="원문 발췌"/>
    <tableColumn id="6" xr3:uid="{00000000-0010-0000-0000-000006000000}" name="정리한 내용"/>
    <tableColumn id="7" xr3:uid="{00000000-0010-0000-0000-000007000000}" name="연결 항목"/>
    <tableColumn id="8" xr3:uid="{00000000-0010-0000-0000-000008000000}" name="출처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armacy_02" displayName="Pharmacy_02" ref="A5:I90" totalsRowShown="0">
  <tableColumns count="9">
    <tableColumn id="1" xr3:uid="{00000000-0010-0000-0100-000001000000}" name="항목 ID"/>
    <tableColumn id="2" xr3:uid="{00000000-0010-0000-0100-000002000000}" name="범주"/>
    <tableColumn id="3" xr3:uid="{00000000-0010-0000-0100-000003000000}" name="항목"/>
    <tableColumn id="4" xr3:uid="{00000000-0010-0000-0100-000004000000}" name="인터뷰에서 파악한 내용"/>
    <tableColumn id="5" xr3:uid="{00000000-0010-0000-0100-000005000000}" name="정리·활용 방법"/>
    <tableColumn id="6" xr3:uid="{00000000-0010-0000-0100-000006000000}" name="근거 ID"/>
    <tableColumn id="7" xr3:uid="{00000000-0010-0000-0100-000007000000}" name="적용 대상"/>
    <tableColumn id="8" xr3:uid="{00000000-0010-0000-0100-000008000000}" name="구현용 이름(참고)"/>
    <tableColumn id="9" xr3:uid="{00000000-0010-0000-0100-000009000000}" name="기록 형식·변화 시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rmacy_03" displayName="Pharmacy_03" ref="A5:I23" totalsRowShown="0">
  <tableColumns count="9">
    <tableColumn id="1" xr3:uid="{00000000-0010-0000-0200-000001000000}" name="규칙 ID"/>
    <tableColumn id="2" xr3:uid="{00000000-0010-0000-0200-000002000000}" name="판단 내용"/>
    <tableColumn id="3" xr3:uid="{00000000-0010-0000-0200-000003000000}" name="발언 성격"/>
    <tableColumn id="4" xr3:uid="{00000000-0010-0000-0200-000004000000}" name="적용 상황"/>
    <tableColumn id="5" xr3:uid="{00000000-0010-0000-0200-000005000000}" name="확인·고려 정보"/>
    <tableColumn id="6" xr3:uid="{00000000-0010-0000-0200-000006000000}" name="운영자의 판단 방식"/>
    <tableColumn id="7" xr3:uid="{00000000-0010-0000-0200-000007000000}" name="읽을 때 참고"/>
    <tableColumn id="8" xr3:uid="{00000000-0010-0000-0200-000008000000}" name="근거 ID"/>
    <tableColumn id="9" xr3:uid="{00000000-0010-0000-0200-000009000000}" name="연결 변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armacy_04" displayName="Pharmacy_04" ref="A5:L24" totalsRowShown="0">
  <tableColumns count="12">
    <tableColumn id="1" xr3:uid="{00000000-0010-0000-0300-000001000000}" name="사례 ID"/>
    <tableColumn id="2" xr3:uid="{00000000-0010-0000-0300-000002000000}" name="사례"/>
    <tableColumn id="3" xr3:uid="{00000000-0010-0000-0300-000003000000}" name="적용 대상"/>
    <tableColumn id="4" xr3:uid="{00000000-0010-0000-0300-000004000000}" name="기록 성격"/>
    <tableColumn id="5" xr3:uid="{00000000-0010-0000-0300-000005000000}" name="당시 상황"/>
    <tableColumn id="6" xr3:uid="{00000000-0010-0000-0300-000006000000}" name="계기"/>
    <tableColumn id="7" xr3:uid="{00000000-0010-0000-0300-000007000000}" name="고려한 것"/>
    <tableColumn id="8" xr3:uid="{00000000-0010-0000-0300-000008000000}" name="실제로 한 일·응답"/>
    <tableColumn id="9" xr3:uid="{00000000-0010-0000-0300-000009000000}" name="결과·현재 상태"/>
    <tableColumn id="10" xr3:uid="{00000000-0010-0000-0300-00000A000000}" name="알게 된 점·정리"/>
    <tableColumn id="11" xr3:uid="{00000000-0010-0000-0300-00000B000000}" name="근거 ID"/>
    <tableColumn id="12" xr3:uid="{00000000-0010-0000-0300-00000C000000}" name="연결 규칙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armacy_05" displayName="Pharmacy_05" ref="A5:E23" totalsRowShown="0">
  <tableColumns count="5">
    <tableColumn id="1" xr3:uid="{00000000-0010-0000-0400-000001000000}" name="시작 항목"/>
    <tableColumn id="2" xr3:uid="{00000000-0010-0000-0400-000002000000}" name="관계"/>
    <tableColumn id="3" xr3:uid="{00000000-0010-0000-0400-000003000000}" name="연결 항목"/>
    <tableColumn id="4" xr3:uid="{00000000-0010-0000-0400-000004000000}" name="관계가 뜻하는 것"/>
    <tableColumn id="5" xr3:uid="{00000000-0010-0000-0400-000005000000}" name="관련 변수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harmacy_06" displayName="Pharmacy_06" ref="A5:E18" totalsRowShown="0">
  <tableColumns count="5">
    <tableColumn id="1" xr3:uid="{00000000-0010-0000-0500-000001000000}" name="구분"/>
    <tableColumn id="2" xr3:uid="{00000000-0010-0000-0500-000002000000}" name="정리 내용"/>
    <tableColumn id="3" xr3:uid="{00000000-0010-0000-0500-000003000000}" name="세부 설명"/>
    <tableColumn id="4" xr3:uid="{00000000-0010-0000-0500-000004000000}" name="연결 변수"/>
    <tableColumn id="5" xr3:uid="{00000000-0010-0000-0500-000005000000}" name="근거·사례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harmacy_07" displayName="Pharmacy_07" ref="A5:F20" totalsRowShown="0">
  <tableColumns count="6">
    <tableColumn id="1" xr3:uid="{00000000-0010-0000-0600-000001000000}" name="질문 ID"/>
    <tableColumn id="2" xr3:uid="{00000000-0010-0000-0600-000002000000}" name="원래 질문의 취지"/>
    <tableColumn id="3" xr3:uid="{00000000-0010-0000-0600-000003000000}" name="실제 인터뷰에서 연결되는 내용"/>
    <tableColumn id="4" xr3:uid="{00000000-0010-0000-0600-000004000000}" name="연결 변수"/>
    <tableColumn id="5" xr3:uid="{00000000-0010-0000-0600-000005000000}" name="근거"/>
    <tableColumn id="6" xr3:uid="{00000000-0010-0000-0600-000006000000}" name="활용 범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harmacy_08" displayName="Pharmacy_08" ref="A5:G11" totalsRowShown="0">
  <tableColumns count="7">
    <tableColumn id="1" xr3:uid="{00000000-0010-0000-0700-000001000000}" name="묶음 ID"/>
    <tableColumn id="2" xr3:uid="{00000000-0010-0000-0700-000002000000}" name="필요한 입력"/>
    <tableColumn id="3" xr3:uid="{00000000-0010-0000-0700-000003000000}" name="상황에 넣을 값"/>
    <tableColumn id="4" xr3:uid="{00000000-0010-0000-0700-000004000000}" name="언제 필요한가"/>
    <tableColumn id="5" xr3:uid="{00000000-0010-0000-0700-000005000000}" name="인터뷰로 파악한 부분"/>
    <tableColumn id="6" xr3:uid="{00000000-0010-0000-0700-000006000000}" name="값을 준비하는 방법"/>
    <tableColumn id="7" xr3:uid="{00000000-0010-0000-0700-000007000000}" name="연결 변수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harmacy_09" displayName="Pharmacy_09" ref="A5:G15" totalsRowShown="0">
  <tableColumns count="7">
    <tableColumn id="1" xr3:uid="{00000000-0010-0000-0800-000001000000}" name="소스 ID"/>
    <tableColumn id="2" xr3:uid="{00000000-0010-0000-0800-000002000000}" name="데이터"/>
    <tableColumn id="3" xr3:uid="{00000000-0010-0000-0800-000003000000}" name="관련 변수"/>
    <tableColumn id="4" xr3:uid="{00000000-0010-0000-0800-000004000000}" name="인터뷰로 파악한 내용"/>
    <tableColumn id="5" xr3:uid="{00000000-0010-0000-0800-000005000000}" name="팀 리서치 위치·자료"/>
    <tableColumn id="6" xr3:uid="{00000000-0010-0000-0800-000006000000}" name="추가로 채울 부분"/>
    <tableColumn id="7" xr3:uid="{00000000-0010-0000-0800-000007000000}" name="활용 범위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harmacy_10" displayName="Pharmacy_10" ref="A5:F11" totalsRowShown="0">
  <tableColumns count="6">
    <tableColumn id="1" xr3:uid="{00000000-0010-0000-0900-000001000000}" name="구분"/>
    <tableColumn id="2" xr3:uid="{00000000-0010-0000-0900-000002000000}" name="주제"/>
    <tableColumn id="3" xr3:uid="{00000000-0010-0000-0900-000003000000}" name="활용 방식"/>
    <tableColumn id="4" xr3:uid="{00000000-0010-0000-0900-000004000000}" name="살펴볼 점"/>
    <tableColumn id="5" xr3:uid="{00000000-0010-0000-0900-000005000000}" name="참조 항목"/>
    <tableColumn id="6" xr3:uid="{00000000-0010-0000-0900-000006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A32" sqref="A32:H33"/>
    </sheetView>
  </sheetViews>
  <sheetFormatPr baseColWidth="10" defaultColWidth="8.83203125" defaultRowHeight="14"/>
  <cols>
    <col min="1" max="1" width="22" customWidth="1"/>
    <col min="2" max="2" width="17" customWidth="1"/>
    <col min="3" max="3" width="23" customWidth="1"/>
    <col min="4" max="4" width="19" customWidth="1"/>
    <col min="5" max="5" width="23" customWidth="1"/>
    <col min="6" max="6" width="18" customWidth="1"/>
    <col min="7" max="7" width="25" customWidth="1"/>
    <col min="8" max="8" width="21" customWidth="1"/>
  </cols>
  <sheetData>
    <row r="1" spans="1:8" ht="57.2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30.75" customHeight="1">
      <c r="A2" s="9"/>
      <c r="B2" s="9"/>
      <c r="C2" s="9"/>
      <c r="D2" s="9"/>
      <c r="E2" s="9"/>
      <c r="F2" s="9"/>
      <c r="G2" s="9"/>
      <c r="H2" s="9"/>
    </row>
    <row r="3" spans="1:8" ht="30.75" customHeight="1">
      <c r="A3" s="9"/>
      <c r="B3" s="9"/>
      <c r="C3" s="9"/>
      <c r="D3" s="9"/>
      <c r="E3" s="9"/>
      <c r="F3" s="9"/>
      <c r="G3" s="9"/>
      <c r="H3" s="9"/>
    </row>
    <row r="4" spans="1:8">
      <c r="A4" s="1"/>
      <c r="B4" s="1"/>
      <c r="C4" s="1"/>
      <c r="D4" s="1"/>
      <c r="E4" s="1"/>
      <c r="F4" s="1"/>
      <c r="G4" s="1"/>
      <c r="H4" s="1"/>
    </row>
    <row r="5" spans="1:8" ht="34.75" customHeight="1">
      <c r="A5" s="10" t="s">
        <v>1</v>
      </c>
      <c r="B5" s="10"/>
      <c r="C5" s="10" t="s">
        <v>2</v>
      </c>
      <c r="D5" s="10"/>
      <c r="E5" s="10" t="s">
        <v>3</v>
      </c>
      <c r="F5" s="10"/>
      <c r="G5" s="10" t="s">
        <v>4</v>
      </c>
      <c r="H5" s="10"/>
    </row>
    <row r="6" spans="1:8" ht="32" customHeight="1">
      <c r="A6" s="11">
        <f>COUNTA('02_변수사전'!A6:A90)</f>
        <v>85</v>
      </c>
      <c r="B6" s="11"/>
      <c r="C6" s="11">
        <f>COUNTA('01_근거대장'!A6:A103)</f>
        <v>98</v>
      </c>
      <c r="D6" s="11"/>
      <c r="E6" s="11">
        <f>COUNTA('03_규칙대장'!A6:A23)</f>
        <v>18</v>
      </c>
      <c r="F6" s="11"/>
      <c r="G6" s="11">
        <f>COUNTA('04_사건학습'!A6:A24)</f>
        <v>19</v>
      </c>
      <c r="H6" s="11"/>
    </row>
    <row r="7" spans="1:8" ht="32" customHeight="1">
      <c r="A7" s="11"/>
      <c r="B7" s="11"/>
      <c r="C7" s="11"/>
      <c r="D7" s="11"/>
      <c r="E7" s="11"/>
      <c r="F7" s="11"/>
      <c r="G7" s="11"/>
      <c r="H7" s="11"/>
    </row>
    <row r="8" spans="1:8">
      <c r="A8" s="1"/>
      <c r="B8" s="1"/>
      <c r="C8" s="1"/>
      <c r="D8" s="1"/>
      <c r="E8" s="1"/>
      <c r="F8" s="1"/>
      <c r="G8" s="1"/>
      <c r="H8" s="1"/>
    </row>
    <row r="9" spans="1:8" ht="38.75" customHeight="1">
      <c r="A9" s="12" t="s">
        <v>5</v>
      </c>
      <c r="B9" s="12"/>
      <c r="C9" s="12"/>
      <c r="D9" s="12"/>
      <c r="E9" s="12"/>
      <c r="F9" s="12"/>
      <c r="G9" s="12"/>
      <c r="H9" s="12"/>
    </row>
    <row r="10" spans="1:8" ht="57.25" customHeight="1">
      <c r="A10" s="4" t="s">
        <v>6</v>
      </c>
      <c r="B10" s="13" t="s">
        <v>7</v>
      </c>
      <c r="C10" s="13"/>
      <c r="D10" s="13"/>
      <c r="E10" s="13" t="s">
        <v>8</v>
      </c>
      <c r="F10" s="13"/>
      <c r="G10" s="13"/>
      <c r="H10" s="13"/>
    </row>
    <row r="11" spans="1:8" ht="57.25" customHeight="1">
      <c r="A11" s="5" t="s">
        <v>9</v>
      </c>
      <c r="B11" s="14" t="s">
        <v>10</v>
      </c>
      <c r="C11" s="14"/>
      <c r="D11" s="14"/>
      <c r="E11" s="14" t="s">
        <v>11</v>
      </c>
      <c r="F11" s="14"/>
      <c r="G11" s="14"/>
      <c r="H11" s="14"/>
    </row>
    <row r="12" spans="1:8" ht="57.25" customHeight="1">
      <c r="A12" s="4" t="s">
        <v>12</v>
      </c>
      <c r="B12" s="13" t="s">
        <v>13</v>
      </c>
      <c r="C12" s="13"/>
      <c r="D12" s="13"/>
      <c r="E12" s="13" t="s">
        <v>14</v>
      </c>
      <c r="F12" s="13"/>
      <c r="G12" s="13"/>
      <c r="H12" s="13"/>
    </row>
    <row r="13" spans="1:8" ht="57.25" customHeight="1">
      <c r="A13" s="5" t="s">
        <v>15</v>
      </c>
      <c r="B13" s="14" t="s">
        <v>16</v>
      </c>
      <c r="C13" s="14"/>
      <c r="D13" s="14"/>
      <c r="E13" s="14" t="s">
        <v>17</v>
      </c>
      <c r="F13" s="14"/>
      <c r="G13" s="14"/>
      <c r="H13" s="14"/>
    </row>
    <row r="14" spans="1:8" ht="57.25" customHeight="1">
      <c r="A14" s="4" t="s">
        <v>18</v>
      </c>
      <c r="B14" s="13" t="s">
        <v>19</v>
      </c>
      <c r="C14" s="13"/>
      <c r="D14" s="13"/>
      <c r="E14" s="13" t="s">
        <v>20</v>
      </c>
      <c r="F14" s="13"/>
      <c r="G14" s="13"/>
      <c r="H14" s="13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 ht="37.25" customHeight="1">
      <c r="A16" s="12" t="s">
        <v>21</v>
      </c>
      <c r="B16" s="12"/>
      <c r="C16" s="12"/>
      <c r="D16" s="12"/>
      <c r="E16" s="12"/>
      <c r="F16" s="12"/>
      <c r="G16" s="12"/>
      <c r="H16" s="12"/>
    </row>
    <row r="17" spans="1:8" ht="49.25" customHeight="1">
      <c r="A17" s="13" t="s">
        <v>22</v>
      </c>
      <c r="B17" s="13"/>
      <c r="C17" s="6">
        <f>COUNTIF('02_변수사전'!$B$6:$B$90,"1 고정 속성")</f>
        <v>15</v>
      </c>
      <c r="D17" s="13" t="s">
        <v>23</v>
      </c>
      <c r="E17" s="13"/>
      <c r="F17" s="13"/>
      <c r="G17" s="13"/>
      <c r="H17" s="13"/>
    </row>
    <row r="18" spans="1:8" ht="49.25" customHeight="1">
      <c r="A18" s="14" t="s">
        <v>24</v>
      </c>
      <c r="B18" s="14"/>
      <c r="C18" s="7">
        <f>COUNTIF('02_변수사전'!$B$6:$B$90,"2 구조적 제약")</f>
        <v>17</v>
      </c>
      <c r="D18" s="14" t="s">
        <v>25</v>
      </c>
      <c r="E18" s="14"/>
      <c r="F18" s="14"/>
      <c r="G18" s="14"/>
      <c r="H18" s="14"/>
    </row>
    <row r="19" spans="1:8" ht="49.25" customHeight="1">
      <c r="A19" s="13" t="s">
        <v>26</v>
      </c>
      <c r="B19" s="13"/>
      <c r="C19" s="6">
        <f>COUNTIF('02_변수사전'!$B$6:$B$90,"3 내부 동적 상태")</f>
        <v>15</v>
      </c>
      <c r="D19" s="13" t="s">
        <v>27</v>
      </c>
      <c r="E19" s="13"/>
      <c r="F19" s="13"/>
      <c r="G19" s="13"/>
      <c r="H19" s="13"/>
    </row>
    <row r="20" spans="1:8" ht="49.25" customHeight="1">
      <c r="A20" s="14" t="s">
        <v>28</v>
      </c>
      <c r="B20" s="14"/>
      <c r="C20" s="7">
        <f>COUNTIF('02_변수사전'!$B$6:$B$90,"4 외부 환경·트리거")</f>
        <v>13</v>
      </c>
      <c r="D20" s="14" t="s">
        <v>29</v>
      </c>
      <c r="E20" s="14"/>
      <c r="F20" s="14"/>
      <c r="G20" s="14"/>
      <c r="H20" s="14"/>
    </row>
    <row r="21" spans="1:8" ht="49.25" customHeight="1">
      <c r="A21" s="13" t="s">
        <v>30</v>
      </c>
      <c r="B21" s="13"/>
      <c r="C21" s="6">
        <f>COUNTIF('02_변수사전'!$B$6:$B$90,"5 판단규칙")</f>
        <v>13</v>
      </c>
      <c r="D21" s="13" t="s">
        <v>31</v>
      </c>
      <c r="E21" s="13"/>
      <c r="F21" s="13"/>
      <c r="G21" s="13"/>
      <c r="H21" s="13"/>
    </row>
    <row r="22" spans="1:8" ht="49.25" customHeight="1">
      <c r="A22" s="14" t="s">
        <v>32</v>
      </c>
      <c r="B22" s="14"/>
      <c r="C22" s="7">
        <f>COUNTIF('02_변수사전'!$B$6:$B$90,"6 결과·학습")</f>
        <v>12</v>
      </c>
      <c r="D22" s="14" t="s">
        <v>33</v>
      </c>
      <c r="E22" s="14"/>
      <c r="F22" s="14"/>
      <c r="G22" s="14"/>
      <c r="H22" s="14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 ht="37.25" customHeight="1">
      <c r="A24" s="12" t="s">
        <v>34</v>
      </c>
      <c r="B24" s="12"/>
      <c r="C24" s="12"/>
      <c r="D24" s="12"/>
      <c r="E24" s="12"/>
      <c r="F24" s="12"/>
      <c r="G24" s="12"/>
      <c r="H24" s="12"/>
    </row>
    <row r="25" spans="1:8" ht="56" customHeight="1">
      <c r="A25" s="13" t="s">
        <v>35</v>
      </c>
      <c r="B25" s="13"/>
      <c r="C25" s="13" t="s">
        <v>36</v>
      </c>
      <c r="D25" s="13"/>
      <c r="E25" s="13"/>
      <c r="F25" s="13"/>
      <c r="G25" s="13"/>
      <c r="H25" s="13"/>
    </row>
    <row r="26" spans="1:8" ht="56" customHeight="1">
      <c r="A26" s="14" t="s">
        <v>37</v>
      </c>
      <c r="B26" s="14"/>
      <c r="C26" s="14" t="s">
        <v>38</v>
      </c>
      <c r="D26" s="14"/>
      <c r="E26" s="14"/>
      <c r="F26" s="14"/>
      <c r="G26" s="14"/>
      <c r="H26" s="14"/>
    </row>
    <row r="27" spans="1:8" ht="56" customHeight="1">
      <c r="A27" s="13" t="s">
        <v>39</v>
      </c>
      <c r="B27" s="13"/>
      <c r="C27" s="13" t="s">
        <v>40</v>
      </c>
      <c r="D27" s="13"/>
      <c r="E27" s="13"/>
      <c r="F27" s="13"/>
      <c r="G27" s="13"/>
      <c r="H27" s="13"/>
    </row>
    <row r="28" spans="1:8" ht="56" customHeight="1">
      <c r="A28" s="14" t="s">
        <v>41</v>
      </c>
      <c r="B28" s="14"/>
      <c r="C28" s="14" t="s">
        <v>42</v>
      </c>
      <c r="D28" s="14"/>
      <c r="E28" s="14"/>
      <c r="F28" s="14"/>
      <c r="G28" s="14"/>
      <c r="H28" s="14"/>
    </row>
    <row r="29" spans="1:8" ht="56" customHeight="1">
      <c r="A29" s="13" t="s">
        <v>43</v>
      </c>
      <c r="B29" s="13"/>
      <c r="C29" s="13" t="s">
        <v>44</v>
      </c>
      <c r="D29" s="13"/>
      <c r="E29" s="13"/>
      <c r="F29" s="13"/>
      <c r="G29" s="13"/>
      <c r="H29" s="13"/>
    </row>
    <row r="30" spans="1:8" ht="56" customHeight="1">
      <c r="A30" s="14" t="s">
        <v>45</v>
      </c>
      <c r="B30" s="14"/>
      <c r="C30" s="14" t="s">
        <v>46</v>
      </c>
      <c r="D30" s="14"/>
      <c r="E30" s="14"/>
      <c r="F30" s="14"/>
      <c r="G30" s="14"/>
      <c r="H30" s="14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32" customHeight="1">
      <c r="A32" s="15"/>
      <c r="B32" s="15"/>
      <c r="C32" s="15"/>
      <c r="D32" s="15"/>
      <c r="E32" s="15"/>
      <c r="F32" s="15"/>
      <c r="G32" s="15"/>
      <c r="H32" s="15"/>
    </row>
    <row r="33" spans="1:8" ht="32" customHeight="1">
      <c r="A33" s="15"/>
      <c r="B33" s="15"/>
      <c r="C33" s="15"/>
      <c r="D33" s="15"/>
      <c r="E33" s="15"/>
      <c r="F33" s="15"/>
      <c r="G33" s="15"/>
      <c r="H33" s="15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</sheetData>
  <mergeCells count="48">
    <mergeCell ref="A29:B29"/>
    <mergeCell ref="C29:H29"/>
    <mergeCell ref="A30:B30"/>
    <mergeCell ref="C30:H30"/>
    <mergeCell ref="A32:H33"/>
    <mergeCell ref="A26:B26"/>
    <mergeCell ref="C26:H26"/>
    <mergeCell ref="A27:B27"/>
    <mergeCell ref="C27:H27"/>
    <mergeCell ref="A28:B28"/>
    <mergeCell ref="C28:H28"/>
    <mergeCell ref="A22:B22"/>
    <mergeCell ref="D22:H22"/>
    <mergeCell ref="A24:H24"/>
    <mergeCell ref="A25:B25"/>
    <mergeCell ref="C25:H25"/>
    <mergeCell ref="A19:B19"/>
    <mergeCell ref="D19:H19"/>
    <mergeCell ref="A20:B20"/>
    <mergeCell ref="D20:H20"/>
    <mergeCell ref="A21:B21"/>
    <mergeCell ref="D21:H21"/>
    <mergeCell ref="A16:H16"/>
    <mergeCell ref="A17:B17"/>
    <mergeCell ref="D17:H17"/>
    <mergeCell ref="A18:B18"/>
    <mergeCell ref="D18:H18"/>
    <mergeCell ref="B12:D12"/>
    <mergeCell ref="E12:H12"/>
    <mergeCell ref="B13:D13"/>
    <mergeCell ref="E13:H13"/>
    <mergeCell ref="B14:D14"/>
    <mergeCell ref="E14:H14"/>
    <mergeCell ref="A9:H9"/>
    <mergeCell ref="B10:D10"/>
    <mergeCell ref="E10:H10"/>
    <mergeCell ref="B11:D11"/>
    <mergeCell ref="E11:H11"/>
    <mergeCell ref="A1:H1"/>
    <mergeCell ref="A2:H3"/>
    <mergeCell ref="A5:B5"/>
    <mergeCell ref="A6:B7"/>
    <mergeCell ref="C5:D5"/>
    <mergeCell ref="C6:D7"/>
    <mergeCell ref="E5:F5"/>
    <mergeCell ref="E6:F7"/>
    <mergeCell ref="G5:H5"/>
    <mergeCell ref="G6:H7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topLeftCell="A81" workbookViewId="0">
      <selection activeCell="N10" sqref="N10"/>
    </sheetView>
  </sheetViews>
  <sheetFormatPr baseColWidth="10" defaultColWidth="8.83203125" defaultRowHeight="14"/>
  <cols>
    <col min="1" max="1" width="11" customWidth="1"/>
    <col min="2" max="2" width="22" customWidth="1"/>
    <col min="3" max="3" width="21" customWidth="1"/>
    <col min="4" max="4" width="19" customWidth="1"/>
    <col min="5" max="6" width="40" customWidth="1"/>
    <col min="7" max="7" width="30" customWidth="1"/>
    <col min="8" max="8" width="26" customWidth="1"/>
  </cols>
  <sheetData>
    <row r="1" spans="1:8" ht="50.75" customHeight="1">
      <c r="A1" s="16" t="s">
        <v>47</v>
      </c>
      <c r="B1" s="16"/>
      <c r="C1" s="16"/>
      <c r="D1" s="16"/>
      <c r="E1" s="16"/>
      <c r="F1" s="16"/>
      <c r="G1" s="16"/>
      <c r="H1" s="16"/>
    </row>
    <row r="2" spans="1:8" ht="28" customHeight="1">
      <c r="A2" s="17" t="s">
        <v>48</v>
      </c>
      <c r="B2" s="17"/>
      <c r="C2" s="17"/>
      <c r="D2" s="17"/>
      <c r="E2" s="17"/>
      <c r="F2" s="17"/>
      <c r="G2" s="17"/>
      <c r="H2" s="17"/>
    </row>
    <row r="3" spans="1:8" ht="28" customHeight="1">
      <c r="A3" s="17"/>
      <c r="B3" s="17"/>
      <c r="C3" s="17"/>
      <c r="D3" s="17"/>
      <c r="E3" s="17"/>
      <c r="F3" s="17"/>
      <c r="G3" s="17"/>
      <c r="H3" s="17"/>
    </row>
    <row r="4" spans="1:8" ht="13.25" customHeight="1">
      <c r="A4" s="1"/>
      <c r="B4" s="1"/>
      <c r="C4" s="1"/>
      <c r="D4" s="1"/>
      <c r="E4" s="1"/>
      <c r="F4" s="1"/>
      <c r="G4" s="1"/>
      <c r="H4" s="1"/>
    </row>
    <row r="5" spans="1:8" ht="41.25" customHeight="1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56</v>
      </c>
    </row>
    <row r="6" spans="1:8" ht="64" customHeight="1">
      <c r="A6" s="4" t="s">
        <v>57</v>
      </c>
      <c r="B6" s="3" t="s">
        <v>58</v>
      </c>
      <c r="C6" s="3" t="s">
        <v>59</v>
      </c>
      <c r="D6" s="3" t="s">
        <v>60</v>
      </c>
      <c r="E6" s="3" t="s">
        <v>61</v>
      </c>
      <c r="F6" s="3" t="s">
        <v>2035</v>
      </c>
      <c r="G6" s="3" t="s">
        <v>62</v>
      </c>
      <c r="H6" s="3" t="s">
        <v>63</v>
      </c>
    </row>
    <row r="7" spans="1:8" ht="64" customHeight="1">
      <c r="A7" s="5" t="s">
        <v>64</v>
      </c>
      <c r="B7" s="1" t="s">
        <v>65</v>
      </c>
      <c r="C7" s="1" t="s">
        <v>59</v>
      </c>
      <c r="D7" s="1" t="s">
        <v>60</v>
      </c>
      <c r="E7" s="1" t="s">
        <v>66</v>
      </c>
      <c r="F7" s="1" t="s">
        <v>67</v>
      </c>
      <c r="G7" s="1" t="s">
        <v>68</v>
      </c>
      <c r="H7" s="1" t="s">
        <v>69</v>
      </c>
    </row>
    <row r="8" spans="1:8" ht="64" customHeight="1">
      <c r="A8" s="4" t="s">
        <v>70</v>
      </c>
      <c r="B8" s="3" t="s">
        <v>71</v>
      </c>
      <c r="C8" s="3" t="s">
        <v>59</v>
      </c>
      <c r="D8" s="3" t="s">
        <v>60</v>
      </c>
      <c r="E8" s="3" t="s">
        <v>72</v>
      </c>
      <c r="F8" s="3" t="s">
        <v>73</v>
      </c>
      <c r="G8" s="3" t="s">
        <v>74</v>
      </c>
      <c r="H8" s="3" t="s">
        <v>75</v>
      </c>
    </row>
    <row r="9" spans="1:8" ht="64" customHeight="1">
      <c r="A9" s="5" t="s">
        <v>76</v>
      </c>
      <c r="B9" s="1" t="s">
        <v>77</v>
      </c>
      <c r="C9" s="1" t="s">
        <v>59</v>
      </c>
      <c r="D9" s="1" t="s">
        <v>60</v>
      </c>
      <c r="E9" s="1" t="s">
        <v>78</v>
      </c>
      <c r="F9" s="1" t="s">
        <v>79</v>
      </c>
      <c r="G9" s="1" t="s">
        <v>80</v>
      </c>
      <c r="H9" s="1" t="s">
        <v>81</v>
      </c>
    </row>
    <row r="10" spans="1:8" ht="64" customHeight="1">
      <c r="A10" s="4" t="s">
        <v>82</v>
      </c>
      <c r="B10" s="3" t="s">
        <v>83</v>
      </c>
      <c r="C10" s="3" t="s">
        <v>59</v>
      </c>
      <c r="D10" s="3" t="s">
        <v>84</v>
      </c>
      <c r="E10" s="3" t="s">
        <v>85</v>
      </c>
      <c r="F10" s="3" t="s">
        <v>86</v>
      </c>
      <c r="G10" s="3" t="s">
        <v>87</v>
      </c>
      <c r="H10" s="3" t="s">
        <v>88</v>
      </c>
    </row>
    <row r="11" spans="1:8" ht="64" customHeight="1">
      <c r="A11" s="5" t="s">
        <v>89</v>
      </c>
      <c r="B11" s="1" t="s">
        <v>90</v>
      </c>
      <c r="C11" s="1" t="s">
        <v>59</v>
      </c>
      <c r="D11" s="1" t="s">
        <v>84</v>
      </c>
      <c r="E11" s="1" t="s">
        <v>91</v>
      </c>
      <c r="F11" s="1" t="s">
        <v>92</v>
      </c>
      <c r="G11" s="1" t="s">
        <v>93</v>
      </c>
      <c r="H11" s="1" t="s">
        <v>94</v>
      </c>
    </row>
    <row r="12" spans="1:8" ht="64" customHeight="1">
      <c r="A12" s="4" t="s">
        <v>95</v>
      </c>
      <c r="B12" s="3" t="s">
        <v>96</v>
      </c>
      <c r="C12" s="3" t="s">
        <v>97</v>
      </c>
      <c r="D12" s="3" t="s">
        <v>84</v>
      </c>
      <c r="E12" s="3" t="s">
        <v>98</v>
      </c>
      <c r="F12" s="3" t="s">
        <v>99</v>
      </c>
      <c r="G12" s="3" t="s">
        <v>100</v>
      </c>
      <c r="H12" s="3" t="s">
        <v>101</v>
      </c>
    </row>
    <row r="13" spans="1:8" ht="64" customHeight="1">
      <c r="A13" s="5" t="s">
        <v>102</v>
      </c>
      <c r="B13" s="1" t="s">
        <v>103</v>
      </c>
      <c r="C13" s="1" t="s">
        <v>59</v>
      </c>
      <c r="D13" s="1" t="s">
        <v>104</v>
      </c>
      <c r="E13" s="1" t="s">
        <v>105</v>
      </c>
      <c r="F13" s="1" t="s">
        <v>106</v>
      </c>
      <c r="G13" s="1" t="s">
        <v>107</v>
      </c>
      <c r="H13" s="1" t="s">
        <v>108</v>
      </c>
    </row>
    <row r="14" spans="1:8" ht="64" customHeight="1">
      <c r="A14" s="4" t="s">
        <v>109</v>
      </c>
      <c r="B14" s="3" t="s">
        <v>110</v>
      </c>
      <c r="C14" s="3" t="s">
        <v>59</v>
      </c>
      <c r="D14" s="3" t="s">
        <v>84</v>
      </c>
      <c r="E14" s="3" t="s">
        <v>111</v>
      </c>
      <c r="F14" s="3" t="s">
        <v>112</v>
      </c>
      <c r="G14" s="3" t="s">
        <v>113</v>
      </c>
      <c r="H14" s="3" t="s">
        <v>114</v>
      </c>
    </row>
    <row r="15" spans="1:8" ht="64" customHeight="1">
      <c r="A15" s="5" t="s">
        <v>115</v>
      </c>
      <c r="B15" s="1" t="s">
        <v>116</v>
      </c>
      <c r="C15" s="1" t="s">
        <v>59</v>
      </c>
      <c r="D15" s="1" t="s">
        <v>104</v>
      </c>
      <c r="E15" s="1" t="s">
        <v>117</v>
      </c>
      <c r="F15" s="1" t="s">
        <v>118</v>
      </c>
      <c r="G15" s="1" t="s">
        <v>119</v>
      </c>
      <c r="H15" s="1" t="s">
        <v>120</v>
      </c>
    </row>
    <row r="16" spans="1:8" ht="64" customHeight="1">
      <c r="A16" s="4" t="s">
        <v>121</v>
      </c>
      <c r="B16" s="3" t="s">
        <v>122</v>
      </c>
      <c r="C16" s="3" t="s">
        <v>59</v>
      </c>
      <c r="D16" s="3" t="s">
        <v>84</v>
      </c>
      <c r="E16" s="3" t="s">
        <v>123</v>
      </c>
      <c r="F16" s="3" t="s">
        <v>124</v>
      </c>
      <c r="G16" s="3" t="s">
        <v>125</v>
      </c>
      <c r="H16" s="3" t="s">
        <v>120</v>
      </c>
    </row>
    <row r="17" spans="1:8" ht="64" customHeight="1">
      <c r="A17" s="5" t="s">
        <v>126</v>
      </c>
      <c r="B17" s="1" t="s">
        <v>127</v>
      </c>
      <c r="C17" s="1" t="s">
        <v>59</v>
      </c>
      <c r="D17" s="1" t="s">
        <v>60</v>
      </c>
      <c r="E17" s="1" t="s">
        <v>128</v>
      </c>
      <c r="F17" s="1" t="s">
        <v>129</v>
      </c>
      <c r="G17" s="1" t="s">
        <v>130</v>
      </c>
      <c r="H17" s="1" t="s">
        <v>131</v>
      </c>
    </row>
    <row r="18" spans="1:8" ht="64" customHeight="1">
      <c r="A18" s="4" t="s">
        <v>132</v>
      </c>
      <c r="B18" s="3" t="s">
        <v>133</v>
      </c>
      <c r="C18" s="3" t="s">
        <v>59</v>
      </c>
      <c r="D18" s="3" t="s">
        <v>60</v>
      </c>
      <c r="E18" s="3" t="s">
        <v>134</v>
      </c>
      <c r="F18" s="3" t="s">
        <v>135</v>
      </c>
      <c r="G18" s="3" t="s">
        <v>136</v>
      </c>
      <c r="H18" s="3" t="s">
        <v>137</v>
      </c>
    </row>
    <row r="19" spans="1:8" ht="64" customHeight="1">
      <c r="A19" s="5" t="s">
        <v>138</v>
      </c>
      <c r="B19" s="1" t="s">
        <v>139</v>
      </c>
      <c r="C19" s="1" t="s">
        <v>59</v>
      </c>
      <c r="D19" s="1" t="s">
        <v>140</v>
      </c>
      <c r="E19" s="1" t="s">
        <v>141</v>
      </c>
      <c r="F19" s="1" t="s">
        <v>142</v>
      </c>
      <c r="G19" s="1" t="s">
        <v>143</v>
      </c>
      <c r="H19" s="1" t="s">
        <v>144</v>
      </c>
    </row>
    <row r="20" spans="1:8" ht="64" customHeight="1">
      <c r="A20" s="4" t="s">
        <v>145</v>
      </c>
      <c r="B20" s="3" t="s">
        <v>146</v>
      </c>
      <c r="C20" s="3" t="s">
        <v>59</v>
      </c>
      <c r="D20" s="3" t="s">
        <v>147</v>
      </c>
      <c r="E20" s="3" t="s">
        <v>148</v>
      </c>
      <c r="F20" s="3" t="s">
        <v>149</v>
      </c>
      <c r="G20" s="3" t="s">
        <v>150</v>
      </c>
      <c r="H20" s="3" t="s">
        <v>151</v>
      </c>
    </row>
    <row r="21" spans="1:8" ht="64" customHeight="1">
      <c r="A21" s="5" t="s">
        <v>152</v>
      </c>
      <c r="B21" s="1" t="s">
        <v>153</v>
      </c>
      <c r="C21" s="1" t="s">
        <v>59</v>
      </c>
      <c r="D21" s="1" t="s">
        <v>154</v>
      </c>
      <c r="E21" s="1" t="s">
        <v>155</v>
      </c>
      <c r="F21" s="1" t="s">
        <v>156</v>
      </c>
      <c r="G21" s="1" t="s">
        <v>157</v>
      </c>
      <c r="H21" s="1" t="s">
        <v>158</v>
      </c>
    </row>
    <row r="22" spans="1:8" ht="64" customHeight="1">
      <c r="A22" s="4" t="s">
        <v>159</v>
      </c>
      <c r="B22" s="3" t="s">
        <v>160</v>
      </c>
      <c r="C22" s="3" t="s">
        <v>59</v>
      </c>
      <c r="D22" s="3" t="s">
        <v>154</v>
      </c>
      <c r="E22" s="3" t="s">
        <v>161</v>
      </c>
      <c r="F22" s="3" t="s">
        <v>162</v>
      </c>
      <c r="G22" s="3" t="s">
        <v>163</v>
      </c>
      <c r="H22" s="3" t="s">
        <v>164</v>
      </c>
    </row>
    <row r="23" spans="1:8" ht="64" customHeight="1">
      <c r="A23" s="5" t="s">
        <v>165</v>
      </c>
      <c r="B23" s="1" t="s">
        <v>166</v>
      </c>
      <c r="C23" s="1" t="s">
        <v>59</v>
      </c>
      <c r="D23" s="1" t="s">
        <v>60</v>
      </c>
      <c r="E23" s="1" t="s">
        <v>167</v>
      </c>
      <c r="F23" s="1" t="s">
        <v>168</v>
      </c>
      <c r="G23" s="1" t="s">
        <v>169</v>
      </c>
      <c r="H23" s="1" t="s">
        <v>170</v>
      </c>
    </row>
    <row r="24" spans="1:8" ht="64" customHeight="1">
      <c r="A24" s="4" t="s">
        <v>171</v>
      </c>
      <c r="B24" s="3" t="s">
        <v>172</v>
      </c>
      <c r="C24" s="3" t="s">
        <v>59</v>
      </c>
      <c r="D24" s="3" t="s">
        <v>60</v>
      </c>
      <c r="E24" s="3" t="s">
        <v>173</v>
      </c>
      <c r="F24" s="3" t="s">
        <v>174</v>
      </c>
      <c r="G24" s="3" t="s">
        <v>175</v>
      </c>
      <c r="H24" s="3" t="s">
        <v>176</v>
      </c>
    </row>
    <row r="25" spans="1:8" ht="64" customHeight="1">
      <c r="A25" s="5" t="s">
        <v>177</v>
      </c>
      <c r="B25" s="1" t="s">
        <v>178</v>
      </c>
      <c r="C25" s="1" t="s">
        <v>59</v>
      </c>
      <c r="D25" s="1" t="s">
        <v>179</v>
      </c>
      <c r="E25" s="1" t="s">
        <v>180</v>
      </c>
      <c r="F25" s="1" t="s">
        <v>181</v>
      </c>
      <c r="G25" s="1" t="s">
        <v>182</v>
      </c>
      <c r="H25" s="1" t="s">
        <v>183</v>
      </c>
    </row>
    <row r="26" spans="1:8" ht="64" customHeight="1">
      <c r="A26" s="4" t="s">
        <v>184</v>
      </c>
      <c r="B26" s="3" t="s">
        <v>185</v>
      </c>
      <c r="C26" s="3" t="s">
        <v>59</v>
      </c>
      <c r="D26" s="3" t="s">
        <v>60</v>
      </c>
      <c r="E26" s="3" t="s">
        <v>186</v>
      </c>
      <c r="F26" s="3" t="s">
        <v>187</v>
      </c>
      <c r="G26" s="3" t="s">
        <v>188</v>
      </c>
      <c r="H26" s="3" t="s">
        <v>189</v>
      </c>
    </row>
    <row r="27" spans="1:8" ht="64" customHeight="1">
      <c r="A27" s="5" t="s">
        <v>190</v>
      </c>
      <c r="B27" s="1" t="s">
        <v>191</v>
      </c>
      <c r="C27" s="1" t="s">
        <v>59</v>
      </c>
      <c r="D27" s="1" t="s">
        <v>60</v>
      </c>
      <c r="E27" s="1" t="s">
        <v>192</v>
      </c>
      <c r="F27" s="1" t="s">
        <v>193</v>
      </c>
      <c r="G27" s="1" t="s">
        <v>194</v>
      </c>
      <c r="H27" s="1" t="s">
        <v>195</v>
      </c>
    </row>
    <row r="28" spans="1:8" ht="64" customHeight="1">
      <c r="A28" s="4" t="s">
        <v>196</v>
      </c>
      <c r="B28" s="3" t="s">
        <v>197</v>
      </c>
      <c r="C28" s="3" t="s">
        <v>198</v>
      </c>
      <c r="D28" s="3" t="s">
        <v>199</v>
      </c>
      <c r="E28" s="3" t="s">
        <v>200</v>
      </c>
      <c r="F28" s="3" t="s">
        <v>201</v>
      </c>
      <c r="G28" s="3" t="s">
        <v>202</v>
      </c>
      <c r="H28" s="3" t="s">
        <v>203</v>
      </c>
    </row>
    <row r="29" spans="1:8" ht="64" customHeight="1">
      <c r="A29" s="5" t="s">
        <v>204</v>
      </c>
      <c r="B29" s="1" t="s">
        <v>205</v>
      </c>
      <c r="C29" s="1" t="s">
        <v>206</v>
      </c>
      <c r="D29" s="1" t="s">
        <v>60</v>
      </c>
      <c r="E29" s="1" t="s">
        <v>207</v>
      </c>
      <c r="F29" s="1" t="s">
        <v>208</v>
      </c>
      <c r="G29" s="1" t="s">
        <v>202</v>
      </c>
      <c r="H29" s="1" t="s">
        <v>203</v>
      </c>
    </row>
    <row r="30" spans="1:8" ht="64" customHeight="1">
      <c r="A30" s="4" t="s">
        <v>209</v>
      </c>
      <c r="B30" s="3" t="s">
        <v>210</v>
      </c>
      <c r="C30" s="3" t="s">
        <v>206</v>
      </c>
      <c r="D30" s="3" t="s">
        <v>211</v>
      </c>
      <c r="E30" s="3" t="s">
        <v>212</v>
      </c>
      <c r="F30" s="3" t="s">
        <v>213</v>
      </c>
      <c r="G30" s="3" t="s">
        <v>214</v>
      </c>
      <c r="H30" s="3" t="s">
        <v>215</v>
      </c>
    </row>
    <row r="31" spans="1:8" ht="64" customHeight="1">
      <c r="A31" s="5" t="s">
        <v>216</v>
      </c>
      <c r="B31" s="1" t="s">
        <v>217</v>
      </c>
      <c r="C31" s="1" t="s">
        <v>59</v>
      </c>
      <c r="D31" s="1" t="s">
        <v>60</v>
      </c>
      <c r="E31" s="1" t="s">
        <v>218</v>
      </c>
      <c r="F31" s="1" t="s">
        <v>219</v>
      </c>
      <c r="G31" s="1" t="s">
        <v>220</v>
      </c>
      <c r="H31" s="1" t="s">
        <v>221</v>
      </c>
    </row>
    <row r="32" spans="1:8" ht="64" customHeight="1">
      <c r="A32" s="4" t="s">
        <v>222</v>
      </c>
      <c r="B32" s="3" t="s">
        <v>223</v>
      </c>
      <c r="C32" s="3" t="s">
        <v>59</v>
      </c>
      <c r="D32" s="3" t="s">
        <v>60</v>
      </c>
      <c r="E32" s="3" t="s">
        <v>224</v>
      </c>
      <c r="F32" s="3" t="s">
        <v>225</v>
      </c>
      <c r="G32" s="3" t="s">
        <v>226</v>
      </c>
      <c r="H32" s="3" t="s">
        <v>227</v>
      </c>
    </row>
    <row r="33" spans="1:8" ht="64" customHeight="1">
      <c r="A33" s="5" t="s">
        <v>228</v>
      </c>
      <c r="B33" s="1" t="s">
        <v>229</v>
      </c>
      <c r="C33" s="1" t="s">
        <v>59</v>
      </c>
      <c r="D33" s="1" t="s">
        <v>230</v>
      </c>
      <c r="E33" s="1" t="s">
        <v>231</v>
      </c>
      <c r="F33" s="1" t="s">
        <v>232</v>
      </c>
      <c r="G33" s="1" t="s">
        <v>233</v>
      </c>
      <c r="H33" s="1" t="s">
        <v>234</v>
      </c>
    </row>
    <row r="34" spans="1:8" ht="64" customHeight="1">
      <c r="A34" s="4" t="s">
        <v>235</v>
      </c>
      <c r="B34" s="3" t="s">
        <v>236</v>
      </c>
      <c r="C34" s="3" t="s">
        <v>59</v>
      </c>
      <c r="D34" s="3" t="s">
        <v>104</v>
      </c>
      <c r="E34" s="3" t="s">
        <v>237</v>
      </c>
      <c r="F34" s="3" t="s">
        <v>238</v>
      </c>
      <c r="G34" s="3" t="s">
        <v>239</v>
      </c>
      <c r="H34" s="3" t="s">
        <v>240</v>
      </c>
    </row>
    <row r="35" spans="1:8" ht="81.25" customHeight="1">
      <c r="A35" s="5" t="s">
        <v>241</v>
      </c>
      <c r="B35" s="1" t="s">
        <v>242</v>
      </c>
      <c r="C35" s="1" t="s">
        <v>59</v>
      </c>
      <c r="D35" s="1" t="s">
        <v>243</v>
      </c>
      <c r="E35" s="1" t="s">
        <v>244</v>
      </c>
      <c r="F35" s="1" t="s">
        <v>245</v>
      </c>
      <c r="G35" s="1" t="s">
        <v>246</v>
      </c>
      <c r="H35" s="1" t="s">
        <v>247</v>
      </c>
    </row>
    <row r="36" spans="1:8" ht="64" customHeight="1">
      <c r="A36" s="4" t="s">
        <v>248</v>
      </c>
      <c r="B36" s="3" t="s">
        <v>249</v>
      </c>
      <c r="C36" s="3" t="s">
        <v>59</v>
      </c>
      <c r="D36" s="3" t="s">
        <v>60</v>
      </c>
      <c r="E36" s="3" t="s">
        <v>250</v>
      </c>
      <c r="F36" s="3" t="s">
        <v>251</v>
      </c>
      <c r="G36" s="3" t="s">
        <v>252</v>
      </c>
      <c r="H36" s="3" t="s">
        <v>253</v>
      </c>
    </row>
    <row r="37" spans="1:8" ht="64" customHeight="1">
      <c r="A37" s="5" t="s">
        <v>254</v>
      </c>
      <c r="B37" s="1" t="s">
        <v>255</v>
      </c>
      <c r="C37" s="1" t="s">
        <v>59</v>
      </c>
      <c r="D37" s="1" t="s">
        <v>256</v>
      </c>
      <c r="E37" s="1" t="s">
        <v>257</v>
      </c>
      <c r="F37" s="1" t="s">
        <v>258</v>
      </c>
      <c r="G37" s="1" t="s">
        <v>259</v>
      </c>
      <c r="H37" s="1" t="s">
        <v>260</v>
      </c>
    </row>
    <row r="38" spans="1:8" ht="64" customHeight="1">
      <c r="A38" s="4" t="s">
        <v>261</v>
      </c>
      <c r="B38" s="3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3" t="s">
        <v>268</v>
      </c>
    </row>
    <row r="39" spans="1:8" ht="64" customHeight="1">
      <c r="A39" s="5" t="s">
        <v>269</v>
      </c>
      <c r="B39" s="1" t="s">
        <v>270</v>
      </c>
      <c r="C39" s="1" t="s">
        <v>59</v>
      </c>
      <c r="D39" s="1" t="s">
        <v>271</v>
      </c>
      <c r="E39" s="1" t="s">
        <v>272</v>
      </c>
      <c r="F39" s="1" t="s">
        <v>273</v>
      </c>
      <c r="G39" s="1" t="s">
        <v>274</v>
      </c>
      <c r="H39" s="1" t="s">
        <v>275</v>
      </c>
    </row>
    <row r="40" spans="1:8" ht="64" customHeight="1">
      <c r="A40" s="4" t="s">
        <v>276</v>
      </c>
      <c r="B40" s="3" t="s">
        <v>277</v>
      </c>
      <c r="C40" s="3" t="s">
        <v>278</v>
      </c>
      <c r="D40" s="3" t="s">
        <v>271</v>
      </c>
      <c r="E40" s="3" t="s">
        <v>279</v>
      </c>
      <c r="F40" s="3" t="s">
        <v>280</v>
      </c>
      <c r="G40" s="3" t="s">
        <v>281</v>
      </c>
      <c r="H40" s="3" t="s">
        <v>282</v>
      </c>
    </row>
    <row r="41" spans="1:8" ht="64" customHeight="1">
      <c r="A41" s="5" t="s">
        <v>283</v>
      </c>
      <c r="B41" s="1" t="s">
        <v>284</v>
      </c>
      <c r="C41" s="1" t="s">
        <v>285</v>
      </c>
      <c r="D41" s="1" t="s">
        <v>104</v>
      </c>
      <c r="E41" s="1" t="s">
        <v>286</v>
      </c>
      <c r="F41" s="1" t="s">
        <v>287</v>
      </c>
      <c r="G41" s="1" t="s">
        <v>288</v>
      </c>
      <c r="H41" s="1" t="s">
        <v>289</v>
      </c>
    </row>
    <row r="42" spans="1:8" ht="64" customHeight="1">
      <c r="A42" s="4" t="s">
        <v>290</v>
      </c>
      <c r="B42" s="3" t="s">
        <v>291</v>
      </c>
      <c r="C42" s="3" t="s">
        <v>59</v>
      </c>
      <c r="D42" s="3" t="s">
        <v>60</v>
      </c>
      <c r="E42" s="3" t="s">
        <v>292</v>
      </c>
      <c r="F42" s="3" t="s">
        <v>293</v>
      </c>
      <c r="G42" s="3" t="s">
        <v>294</v>
      </c>
      <c r="H42" s="3" t="s">
        <v>295</v>
      </c>
    </row>
    <row r="43" spans="1:8" ht="64" customHeight="1">
      <c r="A43" s="5" t="s">
        <v>296</v>
      </c>
      <c r="B43" s="1" t="s">
        <v>297</v>
      </c>
      <c r="C43" s="1" t="s">
        <v>298</v>
      </c>
      <c r="D43" s="1" t="s">
        <v>299</v>
      </c>
      <c r="E43" s="1" t="s">
        <v>300</v>
      </c>
      <c r="F43" s="1" t="s">
        <v>301</v>
      </c>
      <c r="G43" s="1" t="s">
        <v>302</v>
      </c>
      <c r="H43" s="1" t="s">
        <v>303</v>
      </c>
    </row>
    <row r="44" spans="1:8" ht="64" customHeight="1">
      <c r="A44" s="4" t="s">
        <v>304</v>
      </c>
      <c r="B44" s="3" t="s">
        <v>305</v>
      </c>
      <c r="C44" s="3" t="s">
        <v>306</v>
      </c>
      <c r="D44" s="3" t="s">
        <v>256</v>
      </c>
      <c r="E44" s="3" t="s">
        <v>307</v>
      </c>
      <c r="F44" s="3" t="s">
        <v>308</v>
      </c>
      <c r="G44" s="3" t="s">
        <v>309</v>
      </c>
      <c r="H44" s="3" t="s">
        <v>310</v>
      </c>
    </row>
    <row r="45" spans="1:8" ht="81.25" customHeight="1">
      <c r="A45" s="5" t="s">
        <v>311</v>
      </c>
      <c r="B45" s="1" t="s">
        <v>312</v>
      </c>
      <c r="C45" s="1" t="s">
        <v>59</v>
      </c>
      <c r="D45" s="1" t="s">
        <v>313</v>
      </c>
      <c r="E45" s="1" t="s">
        <v>314</v>
      </c>
      <c r="F45" s="1" t="s">
        <v>315</v>
      </c>
      <c r="G45" s="1" t="s">
        <v>316</v>
      </c>
      <c r="H45" s="1" t="s">
        <v>317</v>
      </c>
    </row>
    <row r="46" spans="1:8" ht="64" customHeight="1">
      <c r="A46" s="4" t="s">
        <v>318</v>
      </c>
      <c r="B46" s="3" t="s">
        <v>319</v>
      </c>
      <c r="C46" s="3" t="s">
        <v>320</v>
      </c>
      <c r="D46" s="3" t="s">
        <v>321</v>
      </c>
      <c r="E46" s="3" t="s">
        <v>322</v>
      </c>
      <c r="F46" s="3" t="s">
        <v>323</v>
      </c>
      <c r="G46" s="3" t="s">
        <v>188</v>
      </c>
      <c r="H46" s="3" t="s">
        <v>324</v>
      </c>
    </row>
    <row r="47" spans="1:8" ht="64" customHeight="1">
      <c r="A47" s="5" t="s">
        <v>325</v>
      </c>
      <c r="B47" s="1" t="s">
        <v>326</v>
      </c>
      <c r="C47" s="1" t="s">
        <v>327</v>
      </c>
      <c r="D47" s="1" t="s">
        <v>60</v>
      </c>
      <c r="E47" s="1" t="s">
        <v>328</v>
      </c>
      <c r="F47" s="1" t="s">
        <v>329</v>
      </c>
      <c r="G47" s="1" t="s">
        <v>330</v>
      </c>
      <c r="H47" s="1" t="s">
        <v>331</v>
      </c>
    </row>
    <row r="48" spans="1:8" ht="64" customHeight="1">
      <c r="A48" s="4" t="s">
        <v>332</v>
      </c>
      <c r="B48" s="3" t="s">
        <v>333</v>
      </c>
      <c r="C48" s="3" t="s">
        <v>334</v>
      </c>
      <c r="D48" s="3" t="s">
        <v>335</v>
      </c>
      <c r="E48" s="3" t="s">
        <v>336</v>
      </c>
      <c r="F48" s="3" t="s">
        <v>337</v>
      </c>
      <c r="G48" s="3" t="s">
        <v>338</v>
      </c>
      <c r="H48" s="3" t="s">
        <v>339</v>
      </c>
    </row>
    <row r="49" spans="1:8" ht="64" customHeight="1">
      <c r="A49" s="5" t="s">
        <v>340</v>
      </c>
      <c r="B49" s="1" t="s">
        <v>341</v>
      </c>
      <c r="C49" s="1" t="s">
        <v>320</v>
      </c>
      <c r="D49" s="1" t="s">
        <v>179</v>
      </c>
      <c r="E49" s="1" t="s">
        <v>342</v>
      </c>
      <c r="F49" s="1" t="s">
        <v>343</v>
      </c>
      <c r="G49" s="1" t="s">
        <v>344</v>
      </c>
      <c r="H49" s="1" t="s">
        <v>345</v>
      </c>
    </row>
    <row r="50" spans="1:8" ht="64" customHeight="1">
      <c r="A50" s="4" t="s">
        <v>346</v>
      </c>
      <c r="B50" s="3" t="s">
        <v>347</v>
      </c>
      <c r="C50" s="3" t="s">
        <v>348</v>
      </c>
      <c r="D50" s="3" t="s">
        <v>349</v>
      </c>
      <c r="E50" s="3" t="s">
        <v>350</v>
      </c>
      <c r="F50" s="3" t="s">
        <v>351</v>
      </c>
      <c r="G50" s="3" t="s">
        <v>352</v>
      </c>
      <c r="H50" s="3" t="s">
        <v>353</v>
      </c>
    </row>
    <row r="51" spans="1:8" ht="64" customHeight="1">
      <c r="A51" s="5" t="s">
        <v>354</v>
      </c>
      <c r="B51" s="1" t="s">
        <v>355</v>
      </c>
      <c r="C51" s="1" t="s">
        <v>59</v>
      </c>
      <c r="D51" s="1" t="s">
        <v>356</v>
      </c>
      <c r="E51" s="1" t="s">
        <v>357</v>
      </c>
      <c r="F51" s="1" t="s">
        <v>358</v>
      </c>
      <c r="G51" s="1" t="s">
        <v>359</v>
      </c>
      <c r="H51" s="1" t="s">
        <v>360</v>
      </c>
    </row>
    <row r="52" spans="1:8" ht="64" customHeight="1">
      <c r="A52" s="4" t="s">
        <v>361</v>
      </c>
      <c r="B52" s="3" t="s">
        <v>362</v>
      </c>
      <c r="C52" s="3" t="s">
        <v>59</v>
      </c>
      <c r="D52" s="3" t="s">
        <v>363</v>
      </c>
      <c r="E52" s="3" t="s">
        <v>364</v>
      </c>
      <c r="F52" s="3" t="s">
        <v>365</v>
      </c>
      <c r="G52" s="3" t="s">
        <v>366</v>
      </c>
      <c r="H52" s="3" t="s">
        <v>367</v>
      </c>
    </row>
    <row r="53" spans="1:8" ht="64" customHeight="1">
      <c r="A53" s="5" t="s">
        <v>368</v>
      </c>
      <c r="B53" s="1" t="s">
        <v>369</v>
      </c>
      <c r="C53" s="1" t="s">
        <v>59</v>
      </c>
      <c r="D53" s="1" t="s">
        <v>370</v>
      </c>
      <c r="E53" s="1" t="s">
        <v>371</v>
      </c>
      <c r="F53" s="1" t="s">
        <v>372</v>
      </c>
      <c r="G53" s="1" t="s">
        <v>373</v>
      </c>
      <c r="H53" s="1" t="s">
        <v>374</v>
      </c>
    </row>
    <row r="54" spans="1:8" ht="64" customHeight="1">
      <c r="A54" s="4" t="s">
        <v>375</v>
      </c>
      <c r="B54" s="3" t="s">
        <v>376</v>
      </c>
      <c r="C54" s="3" t="s">
        <v>59</v>
      </c>
      <c r="D54" s="3" t="s">
        <v>84</v>
      </c>
      <c r="E54" s="3" t="s">
        <v>377</v>
      </c>
      <c r="F54" s="3" t="s">
        <v>378</v>
      </c>
      <c r="G54" s="3" t="s">
        <v>379</v>
      </c>
      <c r="H54" s="3" t="s">
        <v>380</v>
      </c>
    </row>
    <row r="55" spans="1:8" ht="64" customHeight="1">
      <c r="A55" s="5" t="s">
        <v>381</v>
      </c>
      <c r="B55" s="1" t="s">
        <v>382</v>
      </c>
      <c r="C55" s="1" t="s">
        <v>59</v>
      </c>
      <c r="D55" s="1" t="s">
        <v>256</v>
      </c>
      <c r="E55" s="1" t="s">
        <v>383</v>
      </c>
      <c r="F55" s="1" t="s">
        <v>384</v>
      </c>
      <c r="G55" s="1" t="s">
        <v>385</v>
      </c>
      <c r="H55" s="1" t="s">
        <v>386</v>
      </c>
    </row>
    <row r="56" spans="1:8" ht="64" customHeight="1">
      <c r="A56" s="4" t="s">
        <v>387</v>
      </c>
      <c r="B56" s="3" t="s">
        <v>388</v>
      </c>
      <c r="C56" s="3" t="s">
        <v>59</v>
      </c>
      <c r="D56" s="3" t="s">
        <v>154</v>
      </c>
      <c r="E56" s="3" t="s">
        <v>389</v>
      </c>
      <c r="F56" s="3" t="s">
        <v>390</v>
      </c>
      <c r="G56" s="3" t="s">
        <v>391</v>
      </c>
      <c r="H56" s="3" t="s">
        <v>392</v>
      </c>
    </row>
    <row r="57" spans="1:8" ht="64" customHeight="1">
      <c r="A57" s="5" t="s">
        <v>393</v>
      </c>
      <c r="B57" s="1" t="s">
        <v>394</v>
      </c>
      <c r="C57" s="1" t="s">
        <v>59</v>
      </c>
      <c r="D57" s="1" t="s">
        <v>395</v>
      </c>
      <c r="E57" s="1" t="s">
        <v>396</v>
      </c>
      <c r="F57" s="1" t="s">
        <v>397</v>
      </c>
      <c r="G57" s="1" t="s">
        <v>398</v>
      </c>
      <c r="H57" s="1" t="s">
        <v>399</v>
      </c>
    </row>
    <row r="58" spans="1:8" ht="64" customHeight="1">
      <c r="A58" s="4" t="s">
        <v>400</v>
      </c>
      <c r="B58" s="3" t="s">
        <v>401</v>
      </c>
      <c r="C58" s="3" t="s">
        <v>59</v>
      </c>
      <c r="D58" s="3" t="s">
        <v>256</v>
      </c>
      <c r="E58" s="3" t="s">
        <v>402</v>
      </c>
      <c r="F58" s="3" t="s">
        <v>403</v>
      </c>
      <c r="G58" s="3" t="s">
        <v>404</v>
      </c>
      <c r="H58" s="3" t="s">
        <v>405</v>
      </c>
    </row>
    <row r="59" spans="1:8" ht="64" customHeight="1">
      <c r="A59" s="5" t="s">
        <v>406</v>
      </c>
      <c r="B59" s="1" t="s">
        <v>407</v>
      </c>
      <c r="C59" s="1" t="s">
        <v>59</v>
      </c>
      <c r="D59" s="1" t="s">
        <v>243</v>
      </c>
      <c r="E59" s="1" t="s">
        <v>408</v>
      </c>
      <c r="F59" s="1" t="s">
        <v>409</v>
      </c>
      <c r="G59" s="1" t="s">
        <v>410</v>
      </c>
      <c r="H59" s="1" t="s">
        <v>411</v>
      </c>
    </row>
    <row r="60" spans="1:8" ht="64" customHeight="1">
      <c r="A60" s="4" t="s">
        <v>412</v>
      </c>
      <c r="B60" s="3" t="s">
        <v>413</v>
      </c>
      <c r="C60" s="3" t="s">
        <v>59</v>
      </c>
      <c r="D60" s="3" t="s">
        <v>414</v>
      </c>
      <c r="E60" s="3" t="s">
        <v>415</v>
      </c>
      <c r="F60" s="3" t="s">
        <v>416</v>
      </c>
      <c r="G60" s="3" t="s">
        <v>417</v>
      </c>
      <c r="H60" s="3" t="s">
        <v>418</v>
      </c>
    </row>
    <row r="61" spans="1:8" ht="64" customHeight="1">
      <c r="A61" s="5" t="s">
        <v>419</v>
      </c>
      <c r="B61" s="1" t="s">
        <v>420</v>
      </c>
      <c r="C61" s="1" t="s">
        <v>421</v>
      </c>
      <c r="D61" s="1" t="s">
        <v>104</v>
      </c>
      <c r="E61" s="1" t="s">
        <v>422</v>
      </c>
      <c r="F61" s="1" t="s">
        <v>423</v>
      </c>
      <c r="G61" s="1" t="s">
        <v>424</v>
      </c>
      <c r="H61" s="1" t="s">
        <v>425</v>
      </c>
    </row>
    <row r="62" spans="1:8" ht="81.25" customHeight="1">
      <c r="A62" s="4" t="s">
        <v>426</v>
      </c>
      <c r="B62" s="3" t="s">
        <v>427</v>
      </c>
      <c r="C62" s="3" t="s">
        <v>428</v>
      </c>
      <c r="D62" s="3" t="s">
        <v>429</v>
      </c>
      <c r="E62" s="3" t="s">
        <v>430</v>
      </c>
      <c r="F62" s="3" t="s">
        <v>431</v>
      </c>
      <c r="G62" s="3" t="s">
        <v>432</v>
      </c>
      <c r="H62" s="3" t="s">
        <v>433</v>
      </c>
    </row>
    <row r="63" spans="1:8" ht="64" customHeight="1">
      <c r="A63" s="5" t="s">
        <v>434</v>
      </c>
      <c r="B63" s="1" t="s">
        <v>435</v>
      </c>
      <c r="C63" s="1" t="s">
        <v>436</v>
      </c>
      <c r="D63" s="1" t="s">
        <v>429</v>
      </c>
      <c r="E63" s="1" t="s">
        <v>437</v>
      </c>
      <c r="F63" s="1" t="s">
        <v>438</v>
      </c>
      <c r="G63" s="1" t="s">
        <v>439</v>
      </c>
      <c r="H63" s="1" t="s">
        <v>440</v>
      </c>
    </row>
    <row r="64" spans="1:8" ht="64" customHeight="1">
      <c r="A64" s="4" t="s">
        <v>441</v>
      </c>
      <c r="B64" s="3" t="s">
        <v>442</v>
      </c>
      <c r="C64" s="3" t="s">
        <v>59</v>
      </c>
      <c r="D64" s="3" t="s">
        <v>60</v>
      </c>
      <c r="E64" s="3" t="s">
        <v>443</v>
      </c>
      <c r="F64" s="3" t="s">
        <v>444</v>
      </c>
      <c r="G64" s="3" t="s">
        <v>445</v>
      </c>
      <c r="H64" s="3" t="s">
        <v>446</v>
      </c>
    </row>
    <row r="65" spans="1:8" ht="64" customHeight="1">
      <c r="A65" s="5" t="s">
        <v>447</v>
      </c>
      <c r="B65" s="1" t="s">
        <v>448</v>
      </c>
      <c r="C65" s="1" t="s">
        <v>449</v>
      </c>
      <c r="D65" s="1" t="s">
        <v>450</v>
      </c>
      <c r="E65" s="1" t="s">
        <v>451</v>
      </c>
      <c r="F65" s="1" t="s">
        <v>452</v>
      </c>
      <c r="G65" s="1" t="s">
        <v>453</v>
      </c>
      <c r="H65" s="1" t="s">
        <v>454</v>
      </c>
    </row>
    <row r="66" spans="1:8" ht="64" customHeight="1">
      <c r="A66" s="4" t="s">
        <v>455</v>
      </c>
      <c r="B66" s="3" t="s">
        <v>456</v>
      </c>
      <c r="C66" s="3" t="s">
        <v>457</v>
      </c>
      <c r="D66" s="3" t="s">
        <v>458</v>
      </c>
      <c r="E66" s="3" t="s">
        <v>459</v>
      </c>
      <c r="F66" s="3" t="s">
        <v>460</v>
      </c>
      <c r="G66" s="3" t="s">
        <v>453</v>
      </c>
      <c r="H66" s="3" t="s">
        <v>461</v>
      </c>
    </row>
    <row r="67" spans="1:8" ht="64" customHeight="1">
      <c r="A67" s="5" t="s">
        <v>462</v>
      </c>
      <c r="B67" s="1" t="s">
        <v>463</v>
      </c>
      <c r="C67" s="1" t="s">
        <v>457</v>
      </c>
      <c r="D67" s="1" t="s">
        <v>464</v>
      </c>
      <c r="E67" s="1" t="s">
        <v>465</v>
      </c>
      <c r="F67" s="1" t="s">
        <v>466</v>
      </c>
      <c r="G67" s="1" t="s">
        <v>453</v>
      </c>
      <c r="H67" s="1" t="s">
        <v>467</v>
      </c>
    </row>
    <row r="68" spans="1:8" ht="64" customHeight="1">
      <c r="A68" s="4" t="s">
        <v>468</v>
      </c>
      <c r="B68" s="3" t="s">
        <v>469</v>
      </c>
      <c r="C68" s="3" t="s">
        <v>470</v>
      </c>
      <c r="D68" s="3" t="s">
        <v>471</v>
      </c>
      <c r="E68" s="3" t="s">
        <v>472</v>
      </c>
      <c r="F68" s="3" t="s">
        <v>473</v>
      </c>
      <c r="G68" s="3" t="s">
        <v>188</v>
      </c>
      <c r="H68" s="3" t="s">
        <v>474</v>
      </c>
    </row>
    <row r="69" spans="1:8" ht="64" customHeight="1">
      <c r="A69" s="5" t="s">
        <v>475</v>
      </c>
      <c r="B69" s="1" t="s">
        <v>476</v>
      </c>
      <c r="C69" s="1" t="s">
        <v>477</v>
      </c>
      <c r="D69" s="1" t="s">
        <v>478</v>
      </c>
      <c r="E69" s="1" t="s">
        <v>479</v>
      </c>
      <c r="F69" s="1" t="s">
        <v>480</v>
      </c>
      <c r="G69" s="1" t="s">
        <v>481</v>
      </c>
      <c r="H69" s="1" t="s">
        <v>482</v>
      </c>
    </row>
    <row r="70" spans="1:8" ht="64" customHeight="1">
      <c r="A70" s="4" t="s">
        <v>483</v>
      </c>
      <c r="B70" s="3" t="s">
        <v>484</v>
      </c>
      <c r="C70" s="3" t="s">
        <v>485</v>
      </c>
      <c r="D70" s="3" t="s">
        <v>486</v>
      </c>
      <c r="E70" s="3" t="s">
        <v>487</v>
      </c>
      <c r="F70" s="3" t="s">
        <v>488</v>
      </c>
      <c r="G70" s="3" t="s">
        <v>489</v>
      </c>
      <c r="H70" s="3" t="s">
        <v>490</v>
      </c>
    </row>
    <row r="71" spans="1:8" ht="64" customHeight="1">
      <c r="A71" s="5" t="s">
        <v>491</v>
      </c>
      <c r="B71" s="1" t="s">
        <v>492</v>
      </c>
      <c r="C71" s="1" t="s">
        <v>493</v>
      </c>
      <c r="D71" s="1" t="s">
        <v>494</v>
      </c>
      <c r="E71" s="1" t="s">
        <v>495</v>
      </c>
      <c r="F71" s="1" t="s">
        <v>496</v>
      </c>
      <c r="G71" s="1" t="s">
        <v>188</v>
      </c>
      <c r="H71" s="1" t="s">
        <v>497</v>
      </c>
    </row>
    <row r="72" spans="1:8" ht="64" customHeight="1">
      <c r="A72" s="4" t="s">
        <v>498</v>
      </c>
      <c r="B72" s="3" t="s">
        <v>499</v>
      </c>
      <c r="C72" s="3" t="s">
        <v>500</v>
      </c>
      <c r="D72" s="3" t="s">
        <v>494</v>
      </c>
      <c r="E72" s="3" t="s">
        <v>501</v>
      </c>
      <c r="F72" s="3" t="s">
        <v>502</v>
      </c>
      <c r="G72" s="3" t="s">
        <v>188</v>
      </c>
      <c r="H72" s="3" t="s">
        <v>503</v>
      </c>
    </row>
    <row r="73" spans="1:8" ht="64" customHeight="1">
      <c r="A73" s="5" t="s">
        <v>504</v>
      </c>
      <c r="B73" s="1" t="s">
        <v>505</v>
      </c>
      <c r="C73" s="1" t="s">
        <v>59</v>
      </c>
      <c r="D73" s="1" t="s">
        <v>271</v>
      </c>
      <c r="E73" s="1" t="s">
        <v>506</v>
      </c>
      <c r="F73" s="1" t="s">
        <v>507</v>
      </c>
      <c r="G73" s="1" t="s">
        <v>508</v>
      </c>
      <c r="H73" s="1" t="s">
        <v>509</v>
      </c>
    </row>
    <row r="74" spans="1:8" ht="64" customHeight="1">
      <c r="A74" s="4" t="s">
        <v>510</v>
      </c>
      <c r="B74" s="3" t="s">
        <v>511</v>
      </c>
      <c r="C74" s="3" t="s">
        <v>512</v>
      </c>
      <c r="D74" s="3" t="s">
        <v>429</v>
      </c>
      <c r="E74" s="3" t="s">
        <v>513</v>
      </c>
      <c r="F74" s="3" t="s">
        <v>514</v>
      </c>
      <c r="G74" s="3" t="s">
        <v>515</v>
      </c>
      <c r="H74" s="3" t="s">
        <v>516</v>
      </c>
    </row>
    <row r="75" spans="1:8" ht="81.25" customHeight="1">
      <c r="A75" s="5" t="s">
        <v>517</v>
      </c>
      <c r="B75" s="1" t="s">
        <v>518</v>
      </c>
      <c r="C75" s="1" t="s">
        <v>519</v>
      </c>
      <c r="D75" s="1" t="s">
        <v>321</v>
      </c>
      <c r="E75" s="1" t="s">
        <v>520</v>
      </c>
      <c r="F75" s="1" t="s">
        <v>521</v>
      </c>
      <c r="G75" s="1" t="s">
        <v>188</v>
      </c>
      <c r="H75" s="1" t="s">
        <v>522</v>
      </c>
    </row>
    <row r="76" spans="1:8" ht="64" customHeight="1">
      <c r="A76" s="4" t="s">
        <v>523</v>
      </c>
      <c r="B76" s="3" t="s">
        <v>524</v>
      </c>
      <c r="C76" s="3" t="s">
        <v>457</v>
      </c>
      <c r="D76" s="3" t="s">
        <v>525</v>
      </c>
      <c r="E76" s="3" t="s">
        <v>526</v>
      </c>
      <c r="F76" s="3" t="s">
        <v>527</v>
      </c>
      <c r="G76" s="3" t="s">
        <v>528</v>
      </c>
      <c r="H76" s="3" t="s">
        <v>529</v>
      </c>
    </row>
    <row r="77" spans="1:8" ht="64" customHeight="1">
      <c r="A77" s="5" t="s">
        <v>530</v>
      </c>
      <c r="B77" s="1" t="s">
        <v>531</v>
      </c>
      <c r="C77" s="1" t="s">
        <v>532</v>
      </c>
      <c r="D77" s="1" t="s">
        <v>321</v>
      </c>
      <c r="E77" s="1" t="s">
        <v>533</v>
      </c>
      <c r="F77" s="1" t="s">
        <v>534</v>
      </c>
      <c r="G77" s="1" t="s">
        <v>188</v>
      </c>
      <c r="H77" s="1" t="s">
        <v>535</v>
      </c>
    </row>
    <row r="78" spans="1:8" ht="64" customHeight="1">
      <c r="A78" s="4" t="s">
        <v>536</v>
      </c>
      <c r="B78" s="3" t="s">
        <v>537</v>
      </c>
      <c r="C78" s="3" t="s">
        <v>538</v>
      </c>
      <c r="D78" s="3" t="s">
        <v>539</v>
      </c>
      <c r="E78" s="3" t="s">
        <v>540</v>
      </c>
      <c r="F78" s="3" t="s">
        <v>541</v>
      </c>
      <c r="G78" s="3" t="s">
        <v>542</v>
      </c>
      <c r="H78" s="3" t="s">
        <v>543</v>
      </c>
    </row>
    <row r="79" spans="1:8" ht="64" customHeight="1">
      <c r="A79" s="5" t="s">
        <v>544</v>
      </c>
      <c r="B79" s="1" t="s">
        <v>545</v>
      </c>
      <c r="C79" s="1" t="s">
        <v>546</v>
      </c>
      <c r="D79" s="1" t="s">
        <v>147</v>
      </c>
      <c r="E79" s="1" t="s">
        <v>547</v>
      </c>
      <c r="F79" s="1" t="s">
        <v>548</v>
      </c>
      <c r="G79" s="1" t="s">
        <v>549</v>
      </c>
      <c r="H79" s="1" t="s">
        <v>550</v>
      </c>
    </row>
    <row r="80" spans="1:8" ht="64" customHeight="1">
      <c r="A80" s="4" t="s">
        <v>551</v>
      </c>
      <c r="B80" s="3" t="s">
        <v>552</v>
      </c>
      <c r="C80" s="3" t="s">
        <v>553</v>
      </c>
      <c r="D80" s="3" t="s">
        <v>554</v>
      </c>
      <c r="E80" s="3" t="s">
        <v>555</v>
      </c>
      <c r="F80" s="3" t="s">
        <v>556</v>
      </c>
      <c r="G80" s="3" t="s">
        <v>542</v>
      </c>
      <c r="H80" s="3" t="s">
        <v>557</v>
      </c>
    </row>
    <row r="81" spans="1:8" ht="64" customHeight="1">
      <c r="A81" s="5" t="s">
        <v>558</v>
      </c>
      <c r="B81" s="1" t="s">
        <v>559</v>
      </c>
      <c r="C81" s="1" t="s">
        <v>560</v>
      </c>
      <c r="D81" s="1" t="s">
        <v>561</v>
      </c>
      <c r="E81" s="1" t="s">
        <v>562</v>
      </c>
      <c r="F81" s="1" t="s">
        <v>563</v>
      </c>
      <c r="G81" s="1" t="s">
        <v>188</v>
      </c>
      <c r="H81" s="1" t="s">
        <v>564</v>
      </c>
    </row>
    <row r="82" spans="1:8" ht="64" customHeight="1">
      <c r="A82" s="4" t="s">
        <v>565</v>
      </c>
      <c r="B82" s="3" t="s">
        <v>566</v>
      </c>
      <c r="C82" s="3" t="s">
        <v>334</v>
      </c>
      <c r="D82" s="3" t="s">
        <v>429</v>
      </c>
      <c r="E82" s="3" t="s">
        <v>567</v>
      </c>
      <c r="F82" s="3" t="s">
        <v>568</v>
      </c>
      <c r="G82" s="3" t="s">
        <v>569</v>
      </c>
      <c r="H82" s="3" t="s">
        <v>570</v>
      </c>
    </row>
    <row r="83" spans="1:8" ht="64" customHeight="1">
      <c r="A83" s="5" t="s">
        <v>571</v>
      </c>
      <c r="B83" s="1" t="s">
        <v>572</v>
      </c>
      <c r="C83" s="1" t="s">
        <v>320</v>
      </c>
      <c r="D83" s="1" t="s">
        <v>573</v>
      </c>
      <c r="E83" s="1" t="s">
        <v>574</v>
      </c>
      <c r="F83" s="1" t="s">
        <v>575</v>
      </c>
      <c r="G83" s="1" t="s">
        <v>576</v>
      </c>
      <c r="H83" s="1" t="s">
        <v>577</v>
      </c>
    </row>
    <row r="84" spans="1:8" ht="64" customHeight="1">
      <c r="A84" s="4" t="s">
        <v>578</v>
      </c>
      <c r="B84" s="3" t="s">
        <v>579</v>
      </c>
      <c r="C84" s="3" t="s">
        <v>580</v>
      </c>
      <c r="D84" s="3" t="s">
        <v>581</v>
      </c>
      <c r="E84" s="3" t="s">
        <v>582</v>
      </c>
      <c r="F84" s="3" t="s">
        <v>583</v>
      </c>
      <c r="G84" s="3" t="s">
        <v>584</v>
      </c>
      <c r="H84" s="3" t="s">
        <v>585</v>
      </c>
    </row>
    <row r="85" spans="1:8" ht="64" customHeight="1">
      <c r="A85" s="5" t="s">
        <v>586</v>
      </c>
      <c r="B85" s="1" t="s">
        <v>587</v>
      </c>
      <c r="C85" s="1" t="s">
        <v>59</v>
      </c>
      <c r="D85" s="1" t="s">
        <v>256</v>
      </c>
      <c r="E85" s="1" t="s">
        <v>588</v>
      </c>
      <c r="F85" s="1" t="s">
        <v>589</v>
      </c>
      <c r="G85" s="1" t="s">
        <v>590</v>
      </c>
      <c r="H85" s="1" t="s">
        <v>591</v>
      </c>
    </row>
    <row r="86" spans="1:8" ht="64" customHeight="1">
      <c r="A86" s="4" t="s">
        <v>592</v>
      </c>
      <c r="B86" s="3" t="s">
        <v>593</v>
      </c>
      <c r="C86" s="3" t="s">
        <v>59</v>
      </c>
      <c r="D86" s="3" t="s">
        <v>594</v>
      </c>
      <c r="E86" s="3" t="s">
        <v>595</v>
      </c>
      <c r="F86" s="3" t="s">
        <v>596</v>
      </c>
      <c r="G86" s="3" t="s">
        <v>597</v>
      </c>
      <c r="H86" s="3" t="s">
        <v>598</v>
      </c>
    </row>
    <row r="87" spans="1:8" ht="81.25" customHeight="1">
      <c r="A87" s="5" t="s">
        <v>599</v>
      </c>
      <c r="B87" s="1" t="s">
        <v>600</v>
      </c>
      <c r="C87" s="1" t="s">
        <v>601</v>
      </c>
      <c r="D87" s="1" t="s">
        <v>602</v>
      </c>
      <c r="E87" s="1" t="s">
        <v>603</v>
      </c>
      <c r="F87" s="1" t="s">
        <v>604</v>
      </c>
      <c r="G87" s="1" t="s">
        <v>605</v>
      </c>
      <c r="H87" s="1" t="s">
        <v>606</v>
      </c>
    </row>
    <row r="88" spans="1:8" ht="64" customHeight="1">
      <c r="A88" s="4" t="s">
        <v>607</v>
      </c>
      <c r="B88" s="3" t="s">
        <v>608</v>
      </c>
      <c r="C88" s="3" t="s">
        <v>449</v>
      </c>
      <c r="D88" s="3" t="s">
        <v>450</v>
      </c>
      <c r="E88" s="3" t="s">
        <v>609</v>
      </c>
      <c r="F88" s="3" t="s">
        <v>610</v>
      </c>
      <c r="G88" s="3" t="s">
        <v>188</v>
      </c>
      <c r="H88" s="3" t="s">
        <v>611</v>
      </c>
    </row>
    <row r="89" spans="1:8" ht="64" customHeight="1">
      <c r="A89" s="5" t="s">
        <v>612</v>
      </c>
      <c r="B89" s="1" t="s">
        <v>613</v>
      </c>
      <c r="C89" s="1" t="s">
        <v>614</v>
      </c>
      <c r="D89" s="1" t="s">
        <v>60</v>
      </c>
      <c r="E89" s="1" t="s">
        <v>615</v>
      </c>
      <c r="F89" s="1" t="s">
        <v>616</v>
      </c>
      <c r="G89" s="1" t="s">
        <v>617</v>
      </c>
      <c r="H89" s="1" t="s">
        <v>618</v>
      </c>
    </row>
    <row r="90" spans="1:8" ht="64" customHeight="1">
      <c r="A90" s="4" t="s">
        <v>619</v>
      </c>
      <c r="B90" s="3" t="s">
        <v>620</v>
      </c>
      <c r="C90" s="3" t="s">
        <v>59</v>
      </c>
      <c r="D90" s="3" t="s">
        <v>621</v>
      </c>
      <c r="E90" s="3" t="s">
        <v>622</v>
      </c>
      <c r="F90" s="3" t="s">
        <v>623</v>
      </c>
      <c r="G90" s="3" t="s">
        <v>624</v>
      </c>
      <c r="H90" s="3" t="s">
        <v>625</v>
      </c>
    </row>
    <row r="91" spans="1:8" ht="64" customHeight="1">
      <c r="A91" s="5" t="s">
        <v>626</v>
      </c>
      <c r="B91" s="1" t="s">
        <v>627</v>
      </c>
      <c r="C91" s="1" t="s">
        <v>457</v>
      </c>
      <c r="D91" s="1" t="s">
        <v>628</v>
      </c>
      <c r="E91" s="1" t="s">
        <v>629</v>
      </c>
      <c r="F91" s="1" t="s">
        <v>630</v>
      </c>
      <c r="G91" s="1" t="s">
        <v>631</v>
      </c>
      <c r="H91" s="1" t="s">
        <v>632</v>
      </c>
    </row>
    <row r="92" spans="1:8" ht="81.25" customHeight="1">
      <c r="A92" s="4" t="s">
        <v>633</v>
      </c>
      <c r="B92" s="3" t="s">
        <v>634</v>
      </c>
      <c r="C92" s="3" t="s">
        <v>635</v>
      </c>
      <c r="D92" s="3" t="s">
        <v>636</v>
      </c>
      <c r="E92" s="3" t="s">
        <v>637</v>
      </c>
      <c r="F92" s="3" t="s">
        <v>638</v>
      </c>
      <c r="G92" s="3" t="s">
        <v>631</v>
      </c>
      <c r="H92" s="3" t="s">
        <v>639</v>
      </c>
    </row>
    <row r="93" spans="1:8" ht="64" customHeight="1">
      <c r="A93" s="5" t="s">
        <v>640</v>
      </c>
      <c r="B93" s="1" t="s">
        <v>641</v>
      </c>
      <c r="C93" s="1" t="s">
        <v>59</v>
      </c>
      <c r="D93" s="1" t="s">
        <v>642</v>
      </c>
      <c r="E93" s="1" t="s">
        <v>643</v>
      </c>
      <c r="F93" s="1" t="s">
        <v>644</v>
      </c>
      <c r="G93" s="1" t="s">
        <v>645</v>
      </c>
      <c r="H93" s="1" t="s">
        <v>646</v>
      </c>
    </row>
    <row r="94" spans="1:8" ht="81.25" customHeight="1">
      <c r="A94" s="4" t="s">
        <v>647</v>
      </c>
      <c r="B94" s="3" t="s">
        <v>648</v>
      </c>
      <c r="C94" s="3" t="s">
        <v>649</v>
      </c>
      <c r="D94" s="3" t="s">
        <v>104</v>
      </c>
      <c r="E94" s="3" t="s">
        <v>650</v>
      </c>
      <c r="F94" s="3" t="s">
        <v>651</v>
      </c>
      <c r="G94" s="3" t="s">
        <v>652</v>
      </c>
      <c r="H94" s="3" t="s">
        <v>653</v>
      </c>
    </row>
    <row r="95" spans="1:8" ht="81.25" customHeight="1">
      <c r="A95" s="5" t="s">
        <v>654</v>
      </c>
      <c r="B95" s="1" t="s">
        <v>655</v>
      </c>
      <c r="C95" s="1" t="s">
        <v>656</v>
      </c>
      <c r="D95" s="1" t="s">
        <v>561</v>
      </c>
      <c r="E95" s="1" t="s">
        <v>657</v>
      </c>
      <c r="F95" s="1" t="s">
        <v>658</v>
      </c>
      <c r="G95" s="1" t="s">
        <v>659</v>
      </c>
      <c r="H95" s="1" t="s">
        <v>660</v>
      </c>
    </row>
    <row r="96" spans="1:8" ht="64" customHeight="1">
      <c r="A96" s="4" t="s">
        <v>661</v>
      </c>
      <c r="B96" s="3" t="s">
        <v>662</v>
      </c>
      <c r="C96" s="3" t="s">
        <v>663</v>
      </c>
      <c r="D96" s="3" t="s">
        <v>664</v>
      </c>
      <c r="E96" s="3" t="s">
        <v>665</v>
      </c>
      <c r="F96" s="3" t="s">
        <v>666</v>
      </c>
      <c r="G96" s="3" t="s">
        <v>188</v>
      </c>
      <c r="H96" s="3" t="s">
        <v>667</v>
      </c>
    </row>
    <row r="97" spans="1:8" ht="81.25" customHeight="1">
      <c r="A97" s="5" t="s">
        <v>668</v>
      </c>
      <c r="B97" s="1" t="s">
        <v>669</v>
      </c>
      <c r="C97" s="1" t="s">
        <v>670</v>
      </c>
      <c r="D97" s="1" t="s">
        <v>60</v>
      </c>
      <c r="E97" s="1" t="s">
        <v>671</v>
      </c>
      <c r="F97" s="1" t="s">
        <v>672</v>
      </c>
      <c r="G97" s="1" t="s">
        <v>188</v>
      </c>
      <c r="H97" s="1" t="s">
        <v>673</v>
      </c>
    </row>
    <row r="98" spans="1:8" ht="64" customHeight="1">
      <c r="A98" s="4" t="s">
        <v>674</v>
      </c>
      <c r="B98" s="3" t="s">
        <v>675</v>
      </c>
      <c r="C98" s="3" t="s">
        <v>59</v>
      </c>
      <c r="D98" s="3" t="s">
        <v>243</v>
      </c>
      <c r="E98" s="3" t="s">
        <v>676</v>
      </c>
      <c r="F98" s="3" t="s">
        <v>677</v>
      </c>
      <c r="G98" s="3" t="s">
        <v>678</v>
      </c>
      <c r="H98" s="3" t="s">
        <v>679</v>
      </c>
    </row>
    <row r="99" spans="1:8" ht="81.25" customHeight="1">
      <c r="A99" s="5" t="s">
        <v>680</v>
      </c>
      <c r="B99" s="1" t="s">
        <v>681</v>
      </c>
      <c r="C99" s="1" t="s">
        <v>59</v>
      </c>
      <c r="D99" s="1" t="s">
        <v>682</v>
      </c>
      <c r="E99" s="1" t="s">
        <v>683</v>
      </c>
      <c r="F99" s="1" t="s">
        <v>684</v>
      </c>
      <c r="G99" s="1" t="s">
        <v>685</v>
      </c>
      <c r="H99" s="1" t="s">
        <v>686</v>
      </c>
    </row>
    <row r="100" spans="1:8" ht="64" customHeight="1">
      <c r="A100" s="4" t="s">
        <v>687</v>
      </c>
      <c r="B100" s="3" t="s">
        <v>688</v>
      </c>
      <c r="C100" s="3" t="s">
        <v>59</v>
      </c>
      <c r="D100" s="3" t="s">
        <v>256</v>
      </c>
      <c r="E100" s="3" t="s">
        <v>689</v>
      </c>
      <c r="F100" s="3" t="s">
        <v>690</v>
      </c>
      <c r="G100" s="3" t="s">
        <v>691</v>
      </c>
      <c r="H100" s="3" t="s">
        <v>692</v>
      </c>
    </row>
    <row r="101" spans="1:8" ht="64" customHeight="1">
      <c r="A101" s="5" t="s">
        <v>693</v>
      </c>
      <c r="B101" s="1" t="s">
        <v>694</v>
      </c>
      <c r="C101" s="1" t="s">
        <v>59</v>
      </c>
      <c r="D101" s="1" t="s">
        <v>271</v>
      </c>
      <c r="E101" s="1" t="s">
        <v>695</v>
      </c>
      <c r="F101" s="1" t="s">
        <v>696</v>
      </c>
      <c r="G101" s="1" t="s">
        <v>697</v>
      </c>
      <c r="H101" s="1" t="s">
        <v>698</v>
      </c>
    </row>
    <row r="102" spans="1:8" ht="64" customHeight="1">
      <c r="A102" s="4" t="s">
        <v>699</v>
      </c>
      <c r="B102" s="3" t="s">
        <v>700</v>
      </c>
      <c r="C102" s="3" t="s">
        <v>59</v>
      </c>
      <c r="D102" s="3" t="s">
        <v>701</v>
      </c>
      <c r="E102" s="3" t="s">
        <v>702</v>
      </c>
      <c r="F102" s="3" t="s">
        <v>703</v>
      </c>
      <c r="G102" s="3" t="s">
        <v>704</v>
      </c>
      <c r="H102" s="3" t="s">
        <v>705</v>
      </c>
    </row>
    <row r="103" spans="1:8" ht="64" customHeight="1">
      <c r="A103" s="5" t="s">
        <v>706</v>
      </c>
      <c r="B103" s="1" t="s">
        <v>707</v>
      </c>
      <c r="C103" s="1" t="s">
        <v>59</v>
      </c>
      <c r="D103" s="1" t="s">
        <v>708</v>
      </c>
      <c r="E103" s="1" t="s">
        <v>709</v>
      </c>
      <c r="F103" s="1" t="s">
        <v>710</v>
      </c>
      <c r="G103" s="1" t="s">
        <v>711</v>
      </c>
      <c r="H103" s="1" t="s">
        <v>712</v>
      </c>
    </row>
  </sheetData>
  <mergeCells count="2">
    <mergeCell ref="A1:H1"/>
    <mergeCell ref="A2:H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0"/>
  <sheetViews>
    <sheetView topLeftCell="A77" workbookViewId="0">
      <selection sqref="A1:I1"/>
    </sheetView>
  </sheetViews>
  <sheetFormatPr baseColWidth="10" defaultColWidth="8.83203125" defaultRowHeight="14"/>
  <cols>
    <col min="1" max="1" width="11" customWidth="1"/>
    <col min="2" max="2" width="22" customWidth="1"/>
    <col min="3" max="3" width="26" customWidth="1"/>
    <col min="4" max="5" width="40" customWidth="1"/>
    <col min="6" max="6" width="25" customWidth="1"/>
    <col min="7" max="7" width="26" customWidth="1"/>
    <col min="8" max="8" width="33" customWidth="1"/>
    <col min="9" max="9" width="32" customWidth="1"/>
  </cols>
  <sheetData>
    <row r="1" spans="1:9" ht="50.75" customHeight="1">
      <c r="A1" s="16" t="s">
        <v>713</v>
      </c>
      <c r="B1" s="16"/>
      <c r="C1" s="16"/>
      <c r="D1" s="16"/>
      <c r="E1" s="16"/>
      <c r="F1" s="16"/>
      <c r="G1" s="16"/>
      <c r="H1" s="16"/>
      <c r="I1" s="16"/>
    </row>
    <row r="2" spans="1:9" ht="28" customHeight="1">
      <c r="A2" s="17" t="s">
        <v>714</v>
      </c>
      <c r="B2" s="17"/>
      <c r="C2" s="17"/>
      <c r="D2" s="17"/>
      <c r="E2" s="17"/>
      <c r="F2" s="17"/>
      <c r="G2" s="17"/>
      <c r="H2" s="17"/>
      <c r="I2" s="17"/>
    </row>
    <row r="3" spans="1:9" ht="28" customHeight="1">
      <c r="A3" s="17"/>
      <c r="B3" s="17"/>
      <c r="C3" s="17"/>
      <c r="D3" s="17"/>
      <c r="E3" s="17"/>
      <c r="F3" s="17"/>
      <c r="G3" s="17"/>
      <c r="H3" s="17"/>
      <c r="I3" s="17"/>
    </row>
    <row r="4" spans="1:9" ht="13.2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1.25" customHeight="1">
      <c r="A5" s="2" t="s">
        <v>715</v>
      </c>
      <c r="B5" s="2" t="s">
        <v>716</v>
      </c>
      <c r="C5" s="2" t="s">
        <v>717</v>
      </c>
      <c r="D5" s="2" t="s">
        <v>718</v>
      </c>
      <c r="E5" s="2" t="s">
        <v>719</v>
      </c>
      <c r="F5" s="2" t="s">
        <v>49</v>
      </c>
      <c r="G5" s="2" t="s">
        <v>51</v>
      </c>
      <c r="H5" s="2" t="s">
        <v>720</v>
      </c>
      <c r="I5" s="2" t="s">
        <v>721</v>
      </c>
    </row>
    <row r="6" spans="1:9" ht="64" customHeight="1">
      <c r="A6" s="4" t="s">
        <v>722</v>
      </c>
      <c r="B6" s="3" t="s">
        <v>22</v>
      </c>
      <c r="C6" s="3" t="s">
        <v>723</v>
      </c>
      <c r="D6" s="3" t="s">
        <v>724</v>
      </c>
      <c r="E6" s="3" t="s">
        <v>725</v>
      </c>
      <c r="F6" s="3" t="s">
        <v>726</v>
      </c>
      <c r="G6" s="3" t="s">
        <v>59</v>
      </c>
      <c r="H6" s="3" t="s">
        <v>727</v>
      </c>
      <c r="I6" s="3" t="s">
        <v>728</v>
      </c>
    </row>
    <row r="7" spans="1:9" ht="64" customHeight="1">
      <c r="A7" s="5" t="s">
        <v>62</v>
      </c>
      <c r="B7" s="1" t="s">
        <v>22</v>
      </c>
      <c r="C7" s="1" t="s">
        <v>729</v>
      </c>
      <c r="D7" s="1" t="s">
        <v>730</v>
      </c>
      <c r="E7" s="1" t="s">
        <v>731</v>
      </c>
      <c r="F7" s="1" t="s">
        <v>57</v>
      </c>
      <c r="G7" s="1" t="s">
        <v>59</v>
      </c>
      <c r="H7" s="1" t="s">
        <v>732</v>
      </c>
      <c r="I7" s="1" t="s">
        <v>733</v>
      </c>
    </row>
    <row r="8" spans="1:9" ht="64" customHeight="1">
      <c r="A8" s="4" t="s">
        <v>711</v>
      </c>
      <c r="B8" s="3" t="s">
        <v>22</v>
      </c>
      <c r="C8" s="3" t="s">
        <v>734</v>
      </c>
      <c r="D8" s="3" t="s">
        <v>735</v>
      </c>
      <c r="E8" s="3" t="s">
        <v>736</v>
      </c>
      <c r="F8" s="3" t="s">
        <v>706</v>
      </c>
      <c r="G8" s="3" t="s">
        <v>59</v>
      </c>
      <c r="H8" s="3" t="s">
        <v>737</v>
      </c>
      <c r="I8" s="3" t="s">
        <v>738</v>
      </c>
    </row>
    <row r="9" spans="1:9" ht="81.25" customHeight="1">
      <c r="A9" s="5" t="s">
        <v>515</v>
      </c>
      <c r="B9" s="1" t="s">
        <v>22</v>
      </c>
      <c r="C9" s="1" t="s">
        <v>739</v>
      </c>
      <c r="D9" s="1" t="s">
        <v>740</v>
      </c>
      <c r="E9" s="1" t="s">
        <v>741</v>
      </c>
      <c r="F9" s="1" t="s">
        <v>742</v>
      </c>
      <c r="G9" s="1" t="s">
        <v>743</v>
      </c>
      <c r="H9" s="1" t="s">
        <v>744</v>
      </c>
      <c r="I9" s="1" t="s">
        <v>745</v>
      </c>
    </row>
    <row r="10" spans="1:9" ht="81.25" customHeight="1">
      <c r="A10" s="4" t="s">
        <v>746</v>
      </c>
      <c r="B10" s="3" t="s">
        <v>22</v>
      </c>
      <c r="C10" s="3" t="s">
        <v>538</v>
      </c>
      <c r="D10" s="3" t="s">
        <v>747</v>
      </c>
      <c r="E10" s="3" t="s">
        <v>748</v>
      </c>
      <c r="F10" s="3" t="s">
        <v>749</v>
      </c>
      <c r="G10" s="3" t="s">
        <v>750</v>
      </c>
      <c r="H10" s="3" t="s">
        <v>751</v>
      </c>
      <c r="I10" s="3" t="s">
        <v>752</v>
      </c>
    </row>
    <row r="11" spans="1:9" ht="64" customHeight="1">
      <c r="A11" s="5" t="s">
        <v>753</v>
      </c>
      <c r="B11" s="1" t="s">
        <v>22</v>
      </c>
      <c r="C11" s="1" t="s">
        <v>754</v>
      </c>
      <c r="D11" s="1" t="s">
        <v>755</v>
      </c>
      <c r="E11" s="1" t="s">
        <v>756</v>
      </c>
      <c r="F11" s="1" t="s">
        <v>757</v>
      </c>
      <c r="G11" s="1" t="s">
        <v>59</v>
      </c>
      <c r="H11" s="1" t="s">
        <v>758</v>
      </c>
      <c r="I11" s="1" t="s">
        <v>759</v>
      </c>
    </row>
    <row r="12" spans="1:9" ht="81.25" customHeight="1">
      <c r="A12" s="4" t="s">
        <v>143</v>
      </c>
      <c r="B12" s="3" t="s">
        <v>22</v>
      </c>
      <c r="C12" s="3" t="s">
        <v>760</v>
      </c>
      <c r="D12" s="3" t="s">
        <v>761</v>
      </c>
      <c r="E12" s="3" t="s">
        <v>762</v>
      </c>
      <c r="F12" s="3" t="s">
        <v>763</v>
      </c>
      <c r="G12" s="3" t="s">
        <v>764</v>
      </c>
      <c r="H12" s="3" t="s">
        <v>765</v>
      </c>
      <c r="I12" s="3" t="s">
        <v>766</v>
      </c>
    </row>
    <row r="13" spans="1:9" ht="81.25" customHeight="1">
      <c r="A13" s="5" t="s">
        <v>80</v>
      </c>
      <c r="B13" s="1" t="s">
        <v>22</v>
      </c>
      <c r="C13" s="1" t="s">
        <v>767</v>
      </c>
      <c r="D13" s="1" t="s">
        <v>768</v>
      </c>
      <c r="E13" s="1" t="s">
        <v>769</v>
      </c>
      <c r="F13" s="1" t="s">
        <v>770</v>
      </c>
      <c r="G13" s="1" t="s">
        <v>59</v>
      </c>
      <c r="H13" s="1" t="s">
        <v>771</v>
      </c>
      <c r="I13" s="1" t="s">
        <v>772</v>
      </c>
    </row>
    <row r="14" spans="1:9" ht="64" customHeight="1">
      <c r="A14" s="4" t="s">
        <v>773</v>
      </c>
      <c r="B14" s="3" t="s">
        <v>22</v>
      </c>
      <c r="C14" s="3" t="s">
        <v>774</v>
      </c>
      <c r="D14" s="3" t="s">
        <v>775</v>
      </c>
      <c r="E14" s="3" t="s">
        <v>776</v>
      </c>
      <c r="F14" s="3" t="s">
        <v>171</v>
      </c>
      <c r="G14" s="3" t="s">
        <v>59</v>
      </c>
      <c r="H14" s="3" t="s">
        <v>777</v>
      </c>
      <c r="I14" s="3" t="s">
        <v>778</v>
      </c>
    </row>
    <row r="15" spans="1:9" ht="64" customHeight="1">
      <c r="A15" s="5" t="s">
        <v>779</v>
      </c>
      <c r="B15" s="1" t="s">
        <v>22</v>
      </c>
      <c r="C15" s="1" t="s">
        <v>780</v>
      </c>
      <c r="D15" s="1" t="s">
        <v>781</v>
      </c>
      <c r="E15" s="1" t="s">
        <v>782</v>
      </c>
      <c r="F15" s="1" t="s">
        <v>783</v>
      </c>
      <c r="G15" s="1" t="s">
        <v>59</v>
      </c>
      <c r="H15" s="1" t="s">
        <v>784</v>
      </c>
      <c r="I15" s="1" t="s">
        <v>785</v>
      </c>
    </row>
    <row r="16" spans="1:9" ht="64" customHeight="1">
      <c r="A16" s="4" t="s">
        <v>786</v>
      </c>
      <c r="B16" s="3" t="s">
        <v>22</v>
      </c>
      <c r="C16" s="3" t="s">
        <v>787</v>
      </c>
      <c r="D16" s="3" t="s">
        <v>788</v>
      </c>
      <c r="E16" s="3" t="s">
        <v>789</v>
      </c>
      <c r="F16" s="3" t="s">
        <v>145</v>
      </c>
      <c r="G16" s="3" t="s">
        <v>59</v>
      </c>
      <c r="H16" s="3" t="s">
        <v>790</v>
      </c>
      <c r="I16" s="3" t="s">
        <v>791</v>
      </c>
    </row>
    <row r="17" spans="1:9" ht="64" customHeight="1">
      <c r="A17" s="5" t="s">
        <v>194</v>
      </c>
      <c r="B17" s="1" t="s">
        <v>22</v>
      </c>
      <c r="C17" s="1" t="s">
        <v>792</v>
      </c>
      <c r="D17" s="1" t="s">
        <v>793</v>
      </c>
      <c r="E17" s="1" t="s">
        <v>794</v>
      </c>
      <c r="F17" s="1" t="s">
        <v>795</v>
      </c>
      <c r="G17" s="1" t="s">
        <v>59</v>
      </c>
      <c r="H17" s="1" t="s">
        <v>796</v>
      </c>
      <c r="I17" s="1" t="s">
        <v>797</v>
      </c>
    </row>
    <row r="18" spans="1:9" ht="64" customHeight="1">
      <c r="A18" s="4" t="s">
        <v>652</v>
      </c>
      <c r="B18" s="3" t="s">
        <v>22</v>
      </c>
      <c r="C18" s="3" t="s">
        <v>798</v>
      </c>
      <c r="D18" s="3" t="s">
        <v>799</v>
      </c>
      <c r="E18" s="3" t="s">
        <v>800</v>
      </c>
      <c r="F18" s="3" t="s">
        <v>801</v>
      </c>
      <c r="G18" s="3" t="s">
        <v>802</v>
      </c>
      <c r="H18" s="3" t="s">
        <v>803</v>
      </c>
      <c r="I18" s="3" t="s">
        <v>804</v>
      </c>
    </row>
    <row r="19" spans="1:9" ht="64" customHeight="1">
      <c r="A19" s="5" t="s">
        <v>805</v>
      </c>
      <c r="B19" s="1" t="s">
        <v>22</v>
      </c>
      <c r="C19" s="1" t="s">
        <v>806</v>
      </c>
      <c r="D19" s="1" t="s">
        <v>807</v>
      </c>
      <c r="E19" s="1" t="s">
        <v>808</v>
      </c>
      <c r="F19" s="1" t="s">
        <v>126</v>
      </c>
      <c r="G19" s="1" t="s">
        <v>59</v>
      </c>
      <c r="H19" s="1" t="s">
        <v>809</v>
      </c>
      <c r="I19" s="1" t="s">
        <v>810</v>
      </c>
    </row>
    <row r="20" spans="1:9" ht="81.25" customHeight="1">
      <c r="A20" s="4" t="s">
        <v>445</v>
      </c>
      <c r="B20" s="3" t="s">
        <v>22</v>
      </c>
      <c r="C20" s="3" t="s">
        <v>811</v>
      </c>
      <c r="D20" s="3" t="s">
        <v>812</v>
      </c>
      <c r="E20" s="3" t="s">
        <v>813</v>
      </c>
      <c r="F20" s="3" t="s">
        <v>441</v>
      </c>
      <c r="G20" s="3" t="s">
        <v>59</v>
      </c>
      <c r="H20" s="3" t="s">
        <v>814</v>
      </c>
      <c r="I20" s="3" t="s">
        <v>815</v>
      </c>
    </row>
    <row r="21" spans="1:9" ht="64" customHeight="1">
      <c r="A21" s="5" t="s">
        <v>816</v>
      </c>
      <c r="B21" s="1" t="s">
        <v>24</v>
      </c>
      <c r="C21" s="1" t="s">
        <v>817</v>
      </c>
      <c r="D21" s="1" t="s">
        <v>818</v>
      </c>
      <c r="E21" s="1" t="s">
        <v>819</v>
      </c>
      <c r="F21" s="1" t="s">
        <v>269</v>
      </c>
      <c r="G21" s="1" t="s">
        <v>59</v>
      </c>
      <c r="H21" s="1" t="s">
        <v>820</v>
      </c>
      <c r="I21" s="1" t="s">
        <v>821</v>
      </c>
    </row>
    <row r="22" spans="1:9" ht="64" customHeight="1">
      <c r="A22" s="4" t="s">
        <v>822</v>
      </c>
      <c r="B22" s="3" t="s">
        <v>24</v>
      </c>
      <c r="C22" s="3" t="s">
        <v>823</v>
      </c>
      <c r="D22" s="3" t="s">
        <v>824</v>
      </c>
      <c r="E22" s="3" t="s">
        <v>825</v>
      </c>
      <c r="F22" s="3" t="s">
        <v>269</v>
      </c>
      <c r="G22" s="3" t="s">
        <v>59</v>
      </c>
      <c r="H22" s="3" t="s">
        <v>826</v>
      </c>
      <c r="I22" s="3" t="s">
        <v>827</v>
      </c>
    </row>
    <row r="23" spans="1:9" ht="81.25" customHeight="1">
      <c r="A23" s="5" t="s">
        <v>828</v>
      </c>
      <c r="B23" s="1" t="s">
        <v>24</v>
      </c>
      <c r="C23" s="1" t="s">
        <v>829</v>
      </c>
      <c r="D23" s="1" t="s">
        <v>830</v>
      </c>
      <c r="E23" s="1" t="s">
        <v>831</v>
      </c>
      <c r="F23" s="1" t="s">
        <v>296</v>
      </c>
      <c r="G23" s="1" t="s">
        <v>298</v>
      </c>
      <c r="H23" s="1" t="s">
        <v>832</v>
      </c>
      <c r="I23" s="1" t="s">
        <v>833</v>
      </c>
    </row>
    <row r="24" spans="1:9" ht="64" customHeight="1">
      <c r="A24" s="4" t="s">
        <v>834</v>
      </c>
      <c r="B24" s="3" t="s">
        <v>24</v>
      </c>
      <c r="C24" s="3" t="s">
        <v>835</v>
      </c>
      <c r="D24" s="3" t="s">
        <v>836</v>
      </c>
      <c r="E24" s="3" t="s">
        <v>837</v>
      </c>
      <c r="F24" s="3" t="s">
        <v>296</v>
      </c>
      <c r="G24" s="3" t="s">
        <v>298</v>
      </c>
      <c r="H24" s="3" t="s">
        <v>838</v>
      </c>
      <c r="I24" s="3" t="s">
        <v>839</v>
      </c>
    </row>
    <row r="25" spans="1:9" ht="64" customHeight="1">
      <c r="A25" s="5" t="s">
        <v>840</v>
      </c>
      <c r="B25" s="1" t="s">
        <v>24</v>
      </c>
      <c r="C25" s="1" t="s">
        <v>841</v>
      </c>
      <c r="D25" s="1" t="s">
        <v>842</v>
      </c>
      <c r="E25" s="1" t="s">
        <v>843</v>
      </c>
      <c r="F25" s="1" t="s">
        <v>844</v>
      </c>
      <c r="G25" s="1" t="s">
        <v>845</v>
      </c>
      <c r="H25" s="1" t="s">
        <v>846</v>
      </c>
      <c r="I25" s="1" t="s">
        <v>847</v>
      </c>
    </row>
    <row r="26" spans="1:9" ht="64" customHeight="1">
      <c r="A26" s="4" t="s">
        <v>848</v>
      </c>
      <c r="B26" s="3" t="s">
        <v>24</v>
      </c>
      <c r="C26" s="3" t="s">
        <v>849</v>
      </c>
      <c r="D26" s="3" t="s">
        <v>850</v>
      </c>
      <c r="E26" s="3" t="s">
        <v>851</v>
      </c>
      <c r="F26" s="3" t="s">
        <v>504</v>
      </c>
      <c r="G26" s="3" t="s">
        <v>59</v>
      </c>
      <c r="H26" s="3" t="s">
        <v>852</v>
      </c>
      <c r="I26" s="3" t="s">
        <v>853</v>
      </c>
    </row>
    <row r="27" spans="1:9" ht="64" customHeight="1">
      <c r="A27" s="5" t="s">
        <v>854</v>
      </c>
      <c r="B27" s="1" t="s">
        <v>24</v>
      </c>
      <c r="C27" s="1" t="s">
        <v>855</v>
      </c>
      <c r="D27" s="1" t="s">
        <v>856</v>
      </c>
      <c r="E27" s="1" t="s">
        <v>857</v>
      </c>
      <c r="F27" s="1" t="s">
        <v>276</v>
      </c>
      <c r="G27" s="1" t="s">
        <v>278</v>
      </c>
      <c r="H27" s="1" t="s">
        <v>858</v>
      </c>
      <c r="I27" s="1" t="s">
        <v>859</v>
      </c>
    </row>
    <row r="28" spans="1:9" ht="64" customHeight="1">
      <c r="A28" s="4" t="s">
        <v>344</v>
      </c>
      <c r="B28" s="3" t="s">
        <v>24</v>
      </c>
      <c r="C28" s="3" t="s">
        <v>860</v>
      </c>
      <c r="D28" s="3" t="s">
        <v>861</v>
      </c>
      <c r="E28" s="3" t="s">
        <v>862</v>
      </c>
      <c r="F28" s="3" t="s">
        <v>863</v>
      </c>
      <c r="G28" s="3" t="s">
        <v>864</v>
      </c>
      <c r="H28" s="3" t="s">
        <v>865</v>
      </c>
      <c r="I28" s="3" t="s">
        <v>866</v>
      </c>
    </row>
    <row r="29" spans="1:9" ht="81.25" customHeight="1">
      <c r="A29" s="5" t="s">
        <v>867</v>
      </c>
      <c r="B29" s="1" t="s">
        <v>24</v>
      </c>
      <c r="C29" s="1" t="s">
        <v>868</v>
      </c>
      <c r="D29" s="1" t="s">
        <v>869</v>
      </c>
      <c r="E29" s="1" t="s">
        <v>870</v>
      </c>
      <c r="F29" s="1" t="s">
        <v>871</v>
      </c>
      <c r="G29" s="1" t="s">
        <v>872</v>
      </c>
      <c r="H29" s="1" t="s">
        <v>873</v>
      </c>
      <c r="I29" s="1" t="s">
        <v>874</v>
      </c>
    </row>
    <row r="30" spans="1:9" ht="81.25" customHeight="1">
      <c r="A30" s="4" t="s">
        <v>875</v>
      </c>
      <c r="B30" s="3" t="s">
        <v>24</v>
      </c>
      <c r="C30" s="3" t="s">
        <v>876</v>
      </c>
      <c r="D30" s="3" t="s">
        <v>877</v>
      </c>
      <c r="E30" s="3" t="s">
        <v>878</v>
      </c>
      <c r="F30" s="3" t="s">
        <v>523</v>
      </c>
      <c r="G30" s="3" t="s">
        <v>457</v>
      </c>
      <c r="H30" s="3" t="s">
        <v>879</v>
      </c>
      <c r="I30" s="3" t="s">
        <v>880</v>
      </c>
    </row>
    <row r="31" spans="1:9" ht="64" customHeight="1">
      <c r="A31" s="5" t="s">
        <v>576</v>
      </c>
      <c r="B31" s="1" t="s">
        <v>24</v>
      </c>
      <c r="C31" s="1" t="s">
        <v>881</v>
      </c>
      <c r="D31" s="1" t="s">
        <v>882</v>
      </c>
      <c r="E31" s="1" t="s">
        <v>883</v>
      </c>
      <c r="F31" s="1" t="s">
        <v>884</v>
      </c>
      <c r="G31" s="1" t="s">
        <v>885</v>
      </c>
      <c r="H31" s="1" t="s">
        <v>886</v>
      </c>
      <c r="I31" s="1" t="s">
        <v>887</v>
      </c>
    </row>
    <row r="32" spans="1:9" ht="81.25" customHeight="1">
      <c r="A32" s="4" t="s">
        <v>888</v>
      </c>
      <c r="B32" s="3" t="s">
        <v>24</v>
      </c>
      <c r="C32" s="3" t="s">
        <v>889</v>
      </c>
      <c r="D32" s="3" t="s">
        <v>890</v>
      </c>
      <c r="E32" s="3" t="s">
        <v>891</v>
      </c>
      <c r="F32" s="3" t="s">
        <v>892</v>
      </c>
      <c r="G32" s="3" t="s">
        <v>893</v>
      </c>
      <c r="H32" s="3" t="s">
        <v>894</v>
      </c>
      <c r="I32" s="3" t="s">
        <v>895</v>
      </c>
    </row>
    <row r="33" spans="1:9" ht="81.25" customHeight="1">
      <c r="A33" s="5" t="s">
        <v>338</v>
      </c>
      <c r="B33" s="1" t="s">
        <v>24</v>
      </c>
      <c r="C33" s="1" t="s">
        <v>896</v>
      </c>
      <c r="D33" s="1" t="s">
        <v>897</v>
      </c>
      <c r="E33" s="1" t="s">
        <v>898</v>
      </c>
      <c r="F33" s="1" t="s">
        <v>899</v>
      </c>
      <c r="G33" s="1" t="s">
        <v>900</v>
      </c>
      <c r="H33" s="1" t="s">
        <v>901</v>
      </c>
      <c r="I33" s="1" t="s">
        <v>902</v>
      </c>
    </row>
    <row r="34" spans="1:9" ht="64" customHeight="1">
      <c r="A34" s="4" t="s">
        <v>903</v>
      </c>
      <c r="B34" s="3" t="s">
        <v>24</v>
      </c>
      <c r="C34" s="3" t="s">
        <v>904</v>
      </c>
      <c r="D34" s="3" t="s">
        <v>905</v>
      </c>
      <c r="E34" s="3" t="s">
        <v>906</v>
      </c>
      <c r="F34" s="3" t="s">
        <v>475</v>
      </c>
      <c r="G34" s="3" t="s">
        <v>477</v>
      </c>
      <c r="H34" s="3" t="s">
        <v>907</v>
      </c>
      <c r="I34" s="3" t="s">
        <v>908</v>
      </c>
    </row>
    <row r="35" spans="1:9" ht="81.25" customHeight="1">
      <c r="A35" s="5" t="s">
        <v>909</v>
      </c>
      <c r="B35" s="1" t="s">
        <v>24</v>
      </c>
      <c r="C35" s="1" t="s">
        <v>910</v>
      </c>
      <c r="D35" s="1" t="s">
        <v>911</v>
      </c>
      <c r="E35" s="1" t="s">
        <v>912</v>
      </c>
      <c r="F35" s="1" t="s">
        <v>913</v>
      </c>
      <c r="G35" s="1" t="s">
        <v>914</v>
      </c>
      <c r="H35" s="1" t="s">
        <v>915</v>
      </c>
      <c r="I35" s="1" t="s">
        <v>916</v>
      </c>
    </row>
    <row r="36" spans="1:9" ht="64" customHeight="1">
      <c r="A36" s="4" t="s">
        <v>410</v>
      </c>
      <c r="B36" s="3" t="s">
        <v>24</v>
      </c>
      <c r="C36" s="3" t="s">
        <v>917</v>
      </c>
      <c r="D36" s="3" t="s">
        <v>918</v>
      </c>
      <c r="E36" s="3" t="s">
        <v>919</v>
      </c>
      <c r="F36" s="3" t="s">
        <v>920</v>
      </c>
      <c r="G36" s="3" t="s">
        <v>921</v>
      </c>
      <c r="H36" s="3" t="s">
        <v>922</v>
      </c>
      <c r="I36" s="3" t="s">
        <v>923</v>
      </c>
    </row>
    <row r="37" spans="1:9" ht="64" customHeight="1">
      <c r="A37" s="5" t="s">
        <v>924</v>
      </c>
      <c r="B37" s="1" t="s">
        <v>24</v>
      </c>
      <c r="C37" s="1" t="s">
        <v>925</v>
      </c>
      <c r="D37" s="1" t="s">
        <v>926</v>
      </c>
      <c r="E37" s="1" t="s">
        <v>927</v>
      </c>
      <c r="F37" s="1" t="s">
        <v>177</v>
      </c>
      <c r="G37" s="1" t="s">
        <v>59</v>
      </c>
      <c r="H37" s="1" t="s">
        <v>928</v>
      </c>
      <c r="I37" s="1" t="s">
        <v>929</v>
      </c>
    </row>
    <row r="38" spans="1:9" ht="64" customHeight="1">
      <c r="A38" s="4" t="s">
        <v>930</v>
      </c>
      <c r="B38" s="3" t="s">
        <v>26</v>
      </c>
      <c r="C38" s="3" t="s">
        <v>931</v>
      </c>
      <c r="D38" s="3" t="s">
        <v>932</v>
      </c>
      <c r="E38" s="3" t="s">
        <v>933</v>
      </c>
      <c r="F38" s="3" t="s">
        <v>934</v>
      </c>
      <c r="G38" s="3" t="s">
        <v>935</v>
      </c>
      <c r="H38" s="3" t="s">
        <v>936</v>
      </c>
      <c r="I38" s="3" t="s">
        <v>937</v>
      </c>
    </row>
    <row r="39" spans="1:9" ht="64" customHeight="1">
      <c r="A39" s="5" t="s">
        <v>938</v>
      </c>
      <c r="B39" s="1" t="s">
        <v>26</v>
      </c>
      <c r="C39" s="1" t="s">
        <v>939</v>
      </c>
      <c r="D39" s="1" t="s">
        <v>940</v>
      </c>
      <c r="E39" s="1" t="s">
        <v>941</v>
      </c>
      <c r="F39" s="1" t="s">
        <v>942</v>
      </c>
      <c r="G39" s="1" t="s">
        <v>59</v>
      </c>
      <c r="H39" s="1" t="s">
        <v>943</v>
      </c>
      <c r="I39" s="1" t="s">
        <v>944</v>
      </c>
    </row>
    <row r="40" spans="1:9" ht="64" customHeight="1">
      <c r="A40" s="4" t="s">
        <v>945</v>
      </c>
      <c r="B40" s="3" t="s">
        <v>26</v>
      </c>
      <c r="C40" s="3" t="s">
        <v>946</v>
      </c>
      <c r="D40" s="3" t="s">
        <v>947</v>
      </c>
      <c r="E40" s="3" t="s">
        <v>948</v>
      </c>
      <c r="F40" s="3" t="s">
        <v>325</v>
      </c>
      <c r="G40" s="3" t="s">
        <v>327</v>
      </c>
      <c r="H40" s="3" t="s">
        <v>949</v>
      </c>
      <c r="I40" s="3" t="s">
        <v>950</v>
      </c>
    </row>
    <row r="41" spans="1:9" ht="64" customHeight="1">
      <c r="A41" s="5" t="s">
        <v>951</v>
      </c>
      <c r="B41" s="1" t="s">
        <v>26</v>
      </c>
      <c r="C41" s="1" t="s">
        <v>952</v>
      </c>
      <c r="D41" s="1" t="s">
        <v>953</v>
      </c>
      <c r="E41" s="1" t="s">
        <v>954</v>
      </c>
      <c r="F41" s="1" t="s">
        <v>248</v>
      </c>
      <c r="G41" s="1" t="s">
        <v>59</v>
      </c>
      <c r="H41" s="1" t="s">
        <v>955</v>
      </c>
      <c r="I41" s="1" t="s">
        <v>956</v>
      </c>
    </row>
    <row r="42" spans="1:9" ht="64" customHeight="1">
      <c r="A42" s="4" t="s">
        <v>957</v>
      </c>
      <c r="B42" s="3" t="s">
        <v>26</v>
      </c>
      <c r="C42" s="3" t="s">
        <v>958</v>
      </c>
      <c r="D42" s="3" t="s">
        <v>959</v>
      </c>
      <c r="E42" s="3" t="s">
        <v>960</v>
      </c>
      <c r="F42" s="3" t="s">
        <v>961</v>
      </c>
      <c r="G42" s="3" t="s">
        <v>59</v>
      </c>
      <c r="H42" s="3" t="s">
        <v>962</v>
      </c>
      <c r="I42" s="3" t="s">
        <v>963</v>
      </c>
    </row>
    <row r="43" spans="1:9" ht="64" customHeight="1">
      <c r="A43" s="5" t="s">
        <v>964</v>
      </c>
      <c r="B43" s="1" t="s">
        <v>26</v>
      </c>
      <c r="C43" s="1" t="s">
        <v>965</v>
      </c>
      <c r="D43" s="1" t="s">
        <v>966</v>
      </c>
      <c r="E43" s="1" t="s">
        <v>967</v>
      </c>
      <c r="F43" s="1" t="s">
        <v>235</v>
      </c>
      <c r="G43" s="1" t="s">
        <v>59</v>
      </c>
      <c r="H43" s="1" t="s">
        <v>968</v>
      </c>
      <c r="I43" s="1" t="s">
        <v>969</v>
      </c>
    </row>
    <row r="44" spans="1:9" ht="81.25" customHeight="1">
      <c r="A44" s="4" t="s">
        <v>970</v>
      </c>
      <c r="B44" s="3" t="s">
        <v>26</v>
      </c>
      <c r="C44" s="3" t="s">
        <v>971</v>
      </c>
      <c r="D44" s="3" t="s">
        <v>972</v>
      </c>
      <c r="E44" s="3" t="s">
        <v>973</v>
      </c>
      <c r="F44" s="3" t="s">
        <v>269</v>
      </c>
      <c r="G44" s="3" t="s">
        <v>59</v>
      </c>
      <c r="H44" s="3" t="s">
        <v>974</v>
      </c>
      <c r="I44" s="3" t="s">
        <v>975</v>
      </c>
    </row>
    <row r="45" spans="1:9" ht="64" customHeight="1">
      <c r="A45" s="5" t="s">
        <v>976</v>
      </c>
      <c r="B45" s="1" t="s">
        <v>26</v>
      </c>
      <c r="C45" s="1" t="s">
        <v>977</v>
      </c>
      <c r="D45" s="1" t="s">
        <v>978</v>
      </c>
      <c r="E45" s="1" t="s">
        <v>979</v>
      </c>
      <c r="F45" s="1" t="s">
        <v>640</v>
      </c>
      <c r="G45" s="1" t="s">
        <v>59</v>
      </c>
      <c r="H45" s="1" t="s">
        <v>980</v>
      </c>
      <c r="I45" s="1" t="s">
        <v>981</v>
      </c>
    </row>
    <row r="46" spans="1:9" ht="81.25" customHeight="1">
      <c r="A46" s="4" t="s">
        <v>982</v>
      </c>
      <c r="B46" s="3" t="s">
        <v>26</v>
      </c>
      <c r="C46" s="3" t="s">
        <v>983</v>
      </c>
      <c r="D46" s="3" t="s">
        <v>984</v>
      </c>
      <c r="E46" s="3" t="s">
        <v>985</v>
      </c>
      <c r="F46" s="3" t="s">
        <v>986</v>
      </c>
      <c r="G46" s="3" t="s">
        <v>59</v>
      </c>
      <c r="H46" s="3" t="s">
        <v>987</v>
      </c>
      <c r="I46" s="3" t="s">
        <v>988</v>
      </c>
    </row>
    <row r="47" spans="1:9" ht="64" customHeight="1">
      <c r="A47" s="5" t="s">
        <v>989</v>
      </c>
      <c r="B47" s="1" t="s">
        <v>26</v>
      </c>
      <c r="C47" s="1" t="s">
        <v>990</v>
      </c>
      <c r="D47" s="1" t="s">
        <v>991</v>
      </c>
      <c r="E47" s="1" t="s">
        <v>992</v>
      </c>
      <c r="F47" s="1" t="s">
        <v>993</v>
      </c>
      <c r="G47" s="1" t="s">
        <v>59</v>
      </c>
      <c r="H47" s="1" t="s">
        <v>994</v>
      </c>
      <c r="I47" s="1" t="s">
        <v>995</v>
      </c>
    </row>
    <row r="48" spans="1:9" ht="81.25" customHeight="1">
      <c r="A48" s="4" t="s">
        <v>996</v>
      </c>
      <c r="B48" s="3" t="s">
        <v>26</v>
      </c>
      <c r="C48" s="3" t="s">
        <v>997</v>
      </c>
      <c r="D48" s="3" t="s">
        <v>998</v>
      </c>
      <c r="E48" s="3" t="s">
        <v>999</v>
      </c>
      <c r="F48" s="3" t="s">
        <v>1000</v>
      </c>
      <c r="G48" s="3" t="s">
        <v>1001</v>
      </c>
      <c r="H48" s="3" t="s">
        <v>1002</v>
      </c>
      <c r="I48" s="3" t="s">
        <v>1003</v>
      </c>
    </row>
    <row r="49" spans="1:9" ht="64" customHeight="1">
      <c r="A49" s="5" t="s">
        <v>1004</v>
      </c>
      <c r="B49" s="1" t="s">
        <v>26</v>
      </c>
      <c r="C49" s="1" t="s">
        <v>1005</v>
      </c>
      <c r="D49" s="1" t="s">
        <v>1006</v>
      </c>
      <c r="E49" s="1" t="s">
        <v>1007</v>
      </c>
      <c r="F49" s="1" t="s">
        <v>1008</v>
      </c>
      <c r="G49" s="1" t="s">
        <v>59</v>
      </c>
      <c r="H49" s="1" t="s">
        <v>1009</v>
      </c>
      <c r="I49" s="1" t="s">
        <v>1010</v>
      </c>
    </row>
    <row r="50" spans="1:9" ht="64" customHeight="1">
      <c r="A50" s="4" t="s">
        <v>1011</v>
      </c>
      <c r="B50" s="3" t="s">
        <v>26</v>
      </c>
      <c r="C50" s="3" t="s">
        <v>1012</v>
      </c>
      <c r="D50" s="3" t="s">
        <v>1013</v>
      </c>
      <c r="E50" s="3" t="s">
        <v>1014</v>
      </c>
      <c r="F50" s="3" t="s">
        <v>699</v>
      </c>
      <c r="G50" s="3" t="s">
        <v>59</v>
      </c>
      <c r="H50" s="3" t="s">
        <v>1015</v>
      </c>
      <c r="I50" s="3" t="s">
        <v>1016</v>
      </c>
    </row>
    <row r="51" spans="1:9" ht="101.25" customHeight="1">
      <c r="A51" s="5" t="s">
        <v>417</v>
      </c>
      <c r="B51" s="1" t="s">
        <v>26</v>
      </c>
      <c r="C51" s="1" t="s">
        <v>1017</v>
      </c>
      <c r="D51" s="1" t="s">
        <v>1018</v>
      </c>
      <c r="E51" s="1" t="s">
        <v>1019</v>
      </c>
      <c r="F51" s="1" t="s">
        <v>1020</v>
      </c>
      <c r="G51" s="1" t="s">
        <v>1021</v>
      </c>
      <c r="H51" s="1" t="s">
        <v>1022</v>
      </c>
      <c r="I51" s="1" t="s">
        <v>1023</v>
      </c>
    </row>
    <row r="52" spans="1:9" ht="81.25" customHeight="1">
      <c r="A52" s="4" t="s">
        <v>1024</v>
      </c>
      <c r="B52" s="3" t="s">
        <v>26</v>
      </c>
      <c r="C52" s="3" t="s">
        <v>1025</v>
      </c>
      <c r="D52" s="3" t="s">
        <v>1026</v>
      </c>
      <c r="E52" s="3" t="s">
        <v>1027</v>
      </c>
      <c r="F52" s="3" t="s">
        <v>1028</v>
      </c>
      <c r="G52" s="3" t="s">
        <v>1029</v>
      </c>
      <c r="H52" s="3" t="s">
        <v>1030</v>
      </c>
      <c r="I52" s="3" t="s">
        <v>1031</v>
      </c>
    </row>
    <row r="53" spans="1:9" ht="64" customHeight="1">
      <c r="A53" s="5" t="s">
        <v>1032</v>
      </c>
      <c r="B53" s="1" t="s">
        <v>28</v>
      </c>
      <c r="C53" s="1" t="s">
        <v>1033</v>
      </c>
      <c r="D53" s="1" t="s">
        <v>1034</v>
      </c>
      <c r="E53" s="1" t="s">
        <v>1035</v>
      </c>
      <c r="F53" s="1" t="s">
        <v>1036</v>
      </c>
      <c r="G53" s="1" t="s">
        <v>59</v>
      </c>
      <c r="H53" s="1" t="s">
        <v>1037</v>
      </c>
      <c r="I53" s="1" t="s">
        <v>1038</v>
      </c>
    </row>
    <row r="54" spans="1:9" ht="81.25" customHeight="1">
      <c r="A54" s="4" t="s">
        <v>1039</v>
      </c>
      <c r="B54" s="3" t="s">
        <v>28</v>
      </c>
      <c r="C54" s="3" t="s">
        <v>1040</v>
      </c>
      <c r="D54" s="3" t="s">
        <v>1041</v>
      </c>
      <c r="E54" s="3" t="s">
        <v>1042</v>
      </c>
      <c r="F54" s="3" t="s">
        <v>1043</v>
      </c>
      <c r="G54" s="3" t="s">
        <v>59</v>
      </c>
      <c r="H54" s="3" t="s">
        <v>1044</v>
      </c>
      <c r="I54" s="3" t="s">
        <v>1045</v>
      </c>
    </row>
    <row r="55" spans="1:9" ht="64" customHeight="1">
      <c r="A55" s="5" t="s">
        <v>1046</v>
      </c>
      <c r="B55" s="1" t="s">
        <v>28</v>
      </c>
      <c r="C55" s="1" t="s">
        <v>1047</v>
      </c>
      <c r="D55" s="1" t="s">
        <v>1048</v>
      </c>
      <c r="E55" s="1" t="s">
        <v>1049</v>
      </c>
      <c r="F55" s="1" t="s">
        <v>209</v>
      </c>
      <c r="G55" s="1" t="s">
        <v>206</v>
      </c>
      <c r="H55" s="1" t="s">
        <v>1050</v>
      </c>
      <c r="I55" s="1" t="s">
        <v>1051</v>
      </c>
    </row>
    <row r="56" spans="1:9" ht="64" customHeight="1">
      <c r="A56" s="4" t="s">
        <v>1052</v>
      </c>
      <c r="B56" s="3" t="s">
        <v>28</v>
      </c>
      <c r="C56" s="3" t="s">
        <v>205</v>
      </c>
      <c r="D56" s="3" t="s">
        <v>1053</v>
      </c>
      <c r="E56" s="3" t="s">
        <v>1054</v>
      </c>
      <c r="F56" s="3" t="s">
        <v>1055</v>
      </c>
      <c r="G56" s="3" t="s">
        <v>1056</v>
      </c>
      <c r="H56" s="3" t="s">
        <v>1057</v>
      </c>
      <c r="I56" s="3" t="s">
        <v>1058</v>
      </c>
    </row>
    <row r="57" spans="1:9" ht="81.25" customHeight="1">
      <c r="A57" s="5" t="s">
        <v>1059</v>
      </c>
      <c r="B57" s="1" t="s">
        <v>28</v>
      </c>
      <c r="C57" s="1" t="s">
        <v>1060</v>
      </c>
      <c r="D57" s="1" t="s">
        <v>1061</v>
      </c>
      <c r="E57" s="1" t="s">
        <v>1062</v>
      </c>
      <c r="F57" s="1" t="s">
        <v>261</v>
      </c>
      <c r="G57" s="1" t="s">
        <v>263</v>
      </c>
      <c r="H57" s="1" t="s">
        <v>1063</v>
      </c>
      <c r="I57" s="1" t="s">
        <v>1064</v>
      </c>
    </row>
    <row r="58" spans="1:9" ht="64" customHeight="1">
      <c r="A58" s="4" t="s">
        <v>1065</v>
      </c>
      <c r="B58" s="3" t="s">
        <v>28</v>
      </c>
      <c r="C58" s="3" t="s">
        <v>1066</v>
      </c>
      <c r="D58" s="3" t="s">
        <v>1067</v>
      </c>
      <c r="E58" s="3" t="s">
        <v>1068</v>
      </c>
      <c r="F58" s="3" t="s">
        <v>1069</v>
      </c>
      <c r="G58" s="3" t="s">
        <v>1070</v>
      </c>
      <c r="H58" s="3" t="s">
        <v>1071</v>
      </c>
      <c r="I58" s="3" t="s">
        <v>1072</v>
      </c>
    </row>
    <row r="59" spans="1:9" ht="64" customHeight="1">
      <c r="A59" s="5" t="s">
        <v>1073</v>
      </c>
      <c r="B59" s="1" t="s">
        <v>28</v>
      </c>
      <c r="C59" s="1" t="s">
        <v>1074</v>
      </c>
      <c r="D59" s="1" t="s">
        <v>1075</v>
      </c>
      <c r="E59" s="1" t="s">
        <v>1076</v>
      </c>
      <c r="F59" s="1" t="s">
        <v>1077</v>
      </c>
      <c r="G59" s="1" t="s">
        <v>59</v>
      </c>
      <c r="H59" s="1" t="s">
        <v>1078</v>
      </c>
      <c r="I59" s="1" t="s">
        <v>1079</v>
      </c>
    </row>
    <row r="60" spans="1:9" ht="64" customHeight="1">
      <c r="A60" s="4" t="s">
        <v>1080</v>
      </c>
      <c r="B60" s="3" t="s">
        <v>28</v>
      </c>
      <c r="C60" s="3" t="s">
        <v>1081</v>
      </c>
      <c r="D60" s="3" t="s">
        <v>1082</v>
      </c>
      <c r="E60" s="3" t="s">
        <v>1083</v>
      </c>
      <c r="F60" s="3" t="s">
        <v>612</v>
      </c>
      <c r="G60" s="3" t="s">
        <v>614</v>
      </c>
      <c r="H60" s="3" t="s">
        <v>1084</v>
      </c>
      <c r="I60" s="3" t="s">
        <v>1085</v>
      </c>
    </row>
    <row r="61" spans="1:9" ht="64" customHeight="1">
      <c r="A61" s="5" t="s">
        <v>1086</v>
      </c>
      <c r="B61" s="1" t="s">
        <v>28</v>
      </c>
      <c r="C61" s="1" t="s">
        <v>1087</v>
      </c>
      <c r="D61" s="1" t="s">
        <v>1088</v>
      </c>
      <c r="E61" s="1" t="s">
        <v>1089</v>
      </c>
      <c r="F61" s="1" t="s">
        <v>89</v>
      </c>
      <c r="G61" s="1" t="s">
        <v>59</v>
      </c>
      <c r="H61" s="1" t="s">
        <v>1090</v>
      </c>
      <c r="I61" s="1" t="s">
        <v>1091</v>
      </c>
    </row>
    <row r="62" spans="1:9" ht="64" customHeight="1">
      <c r="A62" s="4" t="s">
        <v>1092</v>
      </c>
      <c r="B62" s="3" t="s">
        <v>28</v>
      </c>
      <c r="C62" s="3" t="s">
        <v>1093</v>
      </c>
      <c r="D62" s="3" t="s">
        <v>1094</v>
      </c>
      <c r="E62" s="3" t="s">
        <v>1095</v>
      </c>
      <c r="F62" s="3" t="s">
        <v>145</v>
      </c>
      <c r="G62" s="3" t="s">
        <v>59</v>
      </c>
      <c r="H62" s="3" t="s">
        <v>1096</v>
      </c>
      <c r="I62" s="3" t="s">
        <v>1097</v>
      </c>
    </row>
    <row r="63" spans="1:9" ht="64" customHeight="1">
      <c r="A63" s="5" t="s">
        <v>1098</v>
      </c>
      <c r="B63" s="1" t="s">
        <v>28</v>
      </c>
      <c r="C63" s="1" t="s">
        <v>1099</v>
      </c>
      <c r="D63" s="1" t="s">
        <v>1100</v>
      </c>
      <c r="E63" s="1" t="s">
        <v>1101</v>
      </c>
      <c r="F63" s="1" t="s">
        <v>165</v>
      </c>
      <c r="G63" s="1" t="s">
        <v>59</v>
      </c>
      <c r="H63" s="1" t="s">
        <v>1102</v>
      </c>
      <c r="I63" s="1" t="s">
        <v>1103</v>
      </c>
    </row>
    <row r="64" spans="1:9" ht="64" customHeight="1">
      <c r="A64" s="4" t="s">
        <v>1104</v>
      </c>
      <c r="B64" s="3" t="s">
        <v>28</v>
      </c>
      <c r="C64" s="3" t="s">
        <v>1105</v>
      </c>
      <c r="D64" s="3" t="s">
        <v>1106</v>
      </c>
      <c r="E64" s="3" t="s">
        <v>1107</v>
      </c>
      <c r="F64" s="3" t="s">
        <v>578</v>
      </c>
      <c r="G64" s="3" t="s">
        <v>580</v>
      </c>
      <c r="H64" s="3" t="s">
        <v>1108</v>
      </c>
      <c r="I64" s="3" t="s">
        <v>1109</v>
      </c>
    </row>
    <row r="65" spans="1:9" ht="64" customHeight="1">
      <c r="A65" s="5" t="s">
        <v>1110</v>
      </c>
      <c r="B65" s="1" t="s">
        <v>28</v>
      </c>
      <c r="C65" s="1" t="s">
        <v>1111</v>
      </c>
      <c r="D65" s="1" t="s">
        <v>1112</v>
      </c>
      <c r="E65" s="1" t="s">
        <v>1113</v>
      </c>
      <c r="F65" s="1" t="s">
        <v>346</v>
      </c>
      <c r="G65" s="1" t="s">
        <v>348</v>
      </c>
      <c r="H65" s="1" t="s">
        <v>1114</v>
      </c>
      <c r="I65" s="1" t="s">
        <v>1115</v>
      </c>
    </row>
    <row r="66" spans="1:9" ht="64" customHeight="1">
      <c r="A66" s="4" t="s">
        <v>1116</v>
      </c>
      <c r="B66" s="3" t="s">
        <v>30</v>
      </c>
      <c r="C66" s="3" t="s">
        <v>1117</v>
      </c>
      <c r="D66" s="3" t="s">
        <v>1118</v>
      </c>
      <c r="E66" s="3" t="s">
        <v>1119</v>
      </c>
      <c r="F66" s="3" t="s">
        <v>1120</v>
      </c>
      <c r="G66" s="3" t="s">
        <v>1121</v>
      </c>
      <c r="H66" s="3" t="s">
        <v>1122</v>
      </c>
      <c r="I66" s="3" t="s">
        <v>1123</v>
      </c>
    </row>
    <row r="67" spans="1:9" ht="64" customHeight="1">
      <c r="A67" s="5" t="s">
        <v>1124</v>
      </c>
      <c r="B67" s="1" t="s">
        <v>30</v>
      </c>
      <c r="C67" s="1" t="s">
        <v>1125</v>
      </c>
      <c r="D67" s="1" t="s">
        <v>1126</v>
      </c>
      <c r="E67" s="1" t="s">
        <v>1127</v>
      </c>
      <c r="F67" s="1" t="s">
        <v>1128</v>
      </c>
      <c r="G67" s="1" t="s">
        <v>1129</v>
      </c>
      <c r="H67" s="1" t="s">
        <v>1130</v>
      </c>
      <c r="I67" s="1" t="s">
        <v>1131</v>
      </c>
    </row>
    <row r="68" spans="1:9" ht="64" customHeight="1">
      <c r="A68" s="4" t="s">
        <v>1132</v>
      </c>
      <c r="B68" s="3" t="s">
        <v>30</v>
      </c>
      <c r="C68" s="3" t="s">
        <v>1133</v>
      </c>
      <c r="D68" s="3" t="s">
        <v>1134</v>
      </c>
      <c r="E68" s="3" t="s">
        <v>1135</v>
      </c>
      <c r="F68" s="3" t="s">
        <v>1136</v>
      </c>
      <c r="G68" s="3" t="s">
        <v>1029</v>
      </c>
      <c r="H68" s="3" t="s">
        <v>1137</v>
      </c>
      <c r="I68" s="3" t="s">
        <v>1138</v>
      </c>
    </row>
    <row r="69" spans="1:9" ht="81.25" customHeight="1">
      <c r="A69" s="5" t="s">
        <v>1139</v>
      </c>
      <c r="B69" s="1" t="s">
        <v>30</v>
      </c>
      <c r="C69" s="1" t="s">
        <v>1140</v>
      </c>
      <c r="D69" s="1" t="s">
        <v>1141</v>
      </c>
      <c r="E69" s="1" t="s">
        <v>1142</v>
      </c>
      <c r="F69" s="1" t="s">
        <v>1143</v>
      </c>
      <c r="G69" s="1" t="s">
        <v>914</v>
      </c>
      <c r="H69" s="1" t="s">
        <v>1144</v>
      </c>
      <c r="I69" s="1" t="s">
        <v>1145</v>
      </c>
    </row>
    <row r="70" spans="1:9" ht="64" customHeight="1">
      <c r="A70" s="4" t="s">
        <v>1146</v>
      </c>
      <c r="B70" s="3" t="s">
        <v>30</v>
      </c>
      <c r="C70" s="3" t="s">
        <v>1147</v>
      </c>
      <c r="D70" s="3" t="s">
        <v>1148</v>
      </c>
      <c r="E70" s="3" t="s">
        <v>1149</v>
      </c>
      <c r="F70" s="3" t="s">
        <v>942</v>
      </c>
      <c r="G70" s="3" t="s">
        <v>59</v>
      </c>
      <c r="H70" s="3" t="s">
        <v>1150</v>
      </c>
      <c r="I70" s="3" t="s">
        <v>1151</v>
      </c>
    </row>
    <row r="71" spans="1:9" ht="64" customHeight="1">
      <c r="A71" s="5" t="s">
        <v>1152</v>
      </c>
      <c r="B71" s="1" t="s">
        <v>30</v>
      </c>
      <c r="C71" s="1" t="s">
        <v>1153</v>
      </c>
      <c r="D71" s="1" t="s">
        <v>1154</v>
      </c>
      <c r="E71" s="1" t="s">
        <v>1155</v>
      </c>
      <c r="F71" s="1" t="s">
        <v>235</v>
      </c>
      <c r="G71" s="1" t="s">
        <v>59</v>
      </c>
      <c r="H71" s="1" t="s">
        <v>1156</v>
      </c>
      <c r="I71" s="1" t="s">
        <v>1157</v>
      </c>
    </row>
    <row r="72" spans="1:9" ht="81.25" customHeight="1">
      <c r="A72" s="4" t="s">
        <v>1158</v>
      </c>
      <c r="B72" s="3" t="s">
        <v>30</v>
      </c>
      <c r="C72" s="3" t="s">
        <v>1159</v>
      </c>
      <c r="D72" s="3" t="s">
        <v>1160</v>
      </c>
      <c r="E72" s="3" t="s">
        <v>1161</v>
      </c>
      <c r="F72" s="3" t="s">
        <v>1162</v>
      </c>
      <c r="G72" s="3" t="s">
        <v>1163</v>
      </c>
      <c r="H72" s="3" t="s">
        <v>1164</v>
      </c>
      <c r="I72" s="3" t="s">
        <v>1165</v>
      </c>
    </row>
    <row r="73" spans="1:9" ht="81.25" customHeight="1">
      <c r="A73" s="5" t="s">
        <v>1166</v>
      </c>
      <c r="B73" s="1" t="s">
        <v>30</v>
      </c>
      <c r="C73" s="1" t="s">
        <v>1167</v>
      </c>
      <c r="D73" s="1" t="s">
        <v>1168</v>
      </c>
      <c r="E73" s="1" t="s">
        <v>1169</v>
      </c>
      <c r="F73" s="1" t="s">
        <v>1170</v>
      </c>
      <c r="G73" s="1" t="s">
        <v>428</v>
      </c>
      <c r="H73" s="1" t="s">
        <v>1171</v>
      </c>
      <c r="I73" s="1" t="s">
        <v>1172</v>
      </c>
    </row>
    <row r="74" spans="1:9" ht="64" customHeight="1">
      <c r="A74" s="4" t="s">
        <v>1173</v>
      </c>
      <c r="B74" s="3" t="s">
        <v>30</v>
      </c>
      <c r="C74" s="3" t="s">
        <v>1174</v>
      </c>
      <c r="D74" s="3" t="s">
        <v>1175</v>
      </c>
      <c r="E74" s="3" t="s">
        <v>1176</v>
      </c>
      <c r="F74" s="3" t="s">
        <v>483</v>
      </c>
      <c r="G74" s="3" t="s">
        <v>485</v>
      </c>
      <c r="H74" s="3" t="s">
        <v>1177</v>
      </c>
      <c r="I74" s="3" t="s">
        <v>1178</v>
      </c>
    </row>
    <row r="75" spans="1:9" ht="64" customHeight="1">
      <c r="A75" s="5" t="s">
        <v>1179</v>
      </c>
      <c r="B75" s="1" t="s">
        <v>30</v>
      </c>
      <c r="C75" s="1" t="s">
        <v>1180</v>
      </c>
      <c r="D75" s="1" t="s">
        <v>1181</v>
      </c>
      <c r="E75" s="1" t="s">
        <v>1182</v>
      </c>
      <c r="F75" s="1" t="s">
        <v>1183</v>
      </c>
      <c r="G75" s="1" t="s">
        <v>1184</v>
      </c>
      <c r="H75" s="1" t="s">
        <v>1185</v>
      </c>
      <c r="I75" s="1" t="s">
        <v>1186</v>
      </c>
    </row>
    <row r="76" spans="1:9" ht="81.25" customHeight="1">
      <c r="A76" s="4" t="s">
        <v>1187</v>
      </c>
      <c r="B76" s="3" t="s">
        <v>30</v>
      </c>
      <c r="C76" s="3" t="s">
        <v>1188</v>
      </c>
      <c r="D76" s="3" t="s">
        <v>1189</v>
      </c>
      <c r="E76" s="3" t="s">
        <v>1190</v>
      </c>
      <c r="F76" s="3" t="s">
        <v>1191</v>
      </c>
      <c r="G76" s="3" t="s">
        <v>1192</v>
      </c>
      <c r="H76" s="3" t="s">
        <v>1193</v>
      </c>
      <c r="I76" s="3" t="s">
        <v>1194</v>
      </c>
    </row>
    <row r="77" spans="1:9" ht="64" customHeight="1">
      <c r="A77" s="5" t="s">
        <v>1195</v>
      </c>
      <c r="B77" s="1" t="s">
        <v>30</v>
      </c>
      <c r="C77" s="1" t="s">
        <v>1196</v>
      </c>
      <c r="D77" s="1" t="s">
        <v>1197</v>
      </c>
      <c r="E77" s="1" t="s">
        <v>1198</v>
      </c>
      <c r="F77" s="1" t="s">
        <v>674</v>
      </c>
      <c r="G77" s="1" t="s">
        <v>59</v>
      </c>
      <c r="H77" s="1" t="s">
        <v>1199</v>
      </c>
      <c r="I77" s="1" t="s">
        <v>1200</v>
      </c>
    </row>
    <row r="78" spans="1:9" ht="64" customHeight="1">
      <c r="A78" s="4" t="s">
        <v>1201</v>
      </c>
      <c r="B78" s="3" t="s">
        <v>30</v>
      </c>
      <c r="C78" s="3" t="s">
        <v>1202</v>
      </c>
      <c r="D78" s="3" t="s">
        <v>1203</v>
      </c>
      <c r="E78" s="3" t="s">
        <v>1204</v>
      </c>
      <c r="F78" s="3" t="s">
        <v>1205</v>
      </c>
      <c r="G78" s="3" t="s">
        <v>1206</v>
      </c>
      <c r="H78" s="3" t="s">
        <v>1207</v>
      </c>
      <c r="I78" s="3" t="s">
        <v>1208</v>
      </c>
    </row>
    <row r="79" spans="1:9" ht="64" customHeight="1">
      <c r="A79" s="5" t="s">
        <v>1209</v>
      </c>
      <c r="B79" s="1" t="s">
        <v>32</v>
      </c>
      <c r="C79" s="1" t="s">
        <v>1210</v>
      </c>
      <c r="D79" s="1" t="s">
        <v>1211</v>
      </c>
      <c r="E79" s="1" t="s">
        <v>1212</v>
      </c>
      <c r="F79" s="1" t="s">
        <v>145</v>
      </c>
      <c r="G79" s="1" t="s">
        <v>59</v>
      </c>
      <c r="H79" s="1" t="s">
        <v>1213</v>
      </c>
      <c r="I79" s="1" t="s">
        <v>1214</v>
      </c>
    </row>
    <row r="80" spans="1:9" ht="81.25" customHeight="1">
      <c r="A80" s="4" t="s">
        <v>1215</v>
      </c>
      <c r="B80" s="3" t="s">
        <v>32</v>
      </c>
      <c r="C80" s="3" t="s">
        <v>1216</v>
      </c>
      <c r="D80" s="3" t="s">
        <v>1217</v>
      </c>
      <c r="E80" s="3" t="s">
        <v>1218</v>
      </c>
      <c r="F80" s="3" t="s">
        <v>1219</v>
      </c>
      <c r="G80" s="3" t="s">
        <v>59</v>
      </c>
      <c r="H80" s="3" t="s">
        <v>1220</v>
      </c>
      <c r="I80" s="3" t="s">
        <v>1214</v>
      </c>
    </row>
    <row r="81" spans="1:9" ht="64" customHeight="1">
      <c r="A81" s="5" t="s">
        <v>1221</v>
      </c>
      <c r="B81" s="1" t="s">
        <v>32</v>
      </c>
      <c r="C81" s="1" t="s">
        <v>1222</v>
      </c>
      <c r="D81" s="1" t="s">
        <v>1223</v>
      </c>
      <c r="E81" s="1" t="s">
        <v>1224</v>
      </c>
      <c r="F81" s="1" t="s">
        <v>1225</v>
      </c>
      <c r="G81" s="1" t="s">
        <v>59</v>
      </c>
      <c r="H81" s="1" t="s">
        <v>1226</v>
      </c>
      <c r="I81" s="1" t="s">
        <v>1227</v>
      </c>
    </row>
    <row r="82" spans="1:9" ht="64" customHeight="1">
      <c r="A82" s="4" t="s">
        <v>1228</v>
      </c>
      <c r="B82" s="3" t="s">
        <v>32</v>
      </c>
      <c r="C82" s="3" t="s">
        <v>1229</v>
      </c>
      <c r="D82" s="3" t="s">
        <v>1230</v>
      </c>
      <c r="E82" s="3" t="s">
        <v>1231</v>
      </c>
      <c r="F82" s="3" t="s">
        <v>387</v>
      </c>
      <c r="G82" s="3" t="s">
        <v>59</v>
      </c>
      <c r="H82" s="3" t="s">
        <v>1232</v>
      </c>
      <c r="I82" s="3" t="s">
        <v>1233</v>
      </c>
    </row>
    <row r="83" spans="1:9" ht="64" customHeight="1">
      <c r="A83" s="5" t="s">
        <v>1234</v>
      </c>
      <c r="B83" s="1" t="s">
        <v>32</v>
      </c>
      <c r="C83" s="1" t="s">
        <v>1235</v>
      </c>
      <c r="D83" s="1" t="s">
        <v>1236</v>
      </c>
      <c r="E83" s="1" t="s">
        <v>1237</v>
      </c>
      <c r="F83" s="1" t="s">
        <v>400</v>
      </c>
      <c r="G83" s="1" t="s">
        <v>59</v>
      </c>
      <c r="H83" s="1" t="s">
        <v>1238</v>
      </c>
      <c r="I83" s="1" t="s">
        <v>1239</v>
      </c>
    </row>
    <row r="84" spans="1:9" ht="64" customHeight="1">
      <c r="A84" s="4" t="s">
        <v>1240</v>
      </c>
      <c r="B84" s="3" t="s">
        <v>32</v>
      </c>
      <c r="C84" s="3" t="s">
        <v>255</v>
      </c>
      <c r="D84" s="3" t="s">
        <v>1241</v>
      </c>
      <c r="E84" s="3" t="s">
        <v>1242</v>
      </c>
      <c r="F84" s="3" t="s">
        <v>254</v>
      </c>
      <c r="G84" s="3" t="s">
        <v>59</v>
      </c>
      <c r="H84" s="3" t="s">
        <v>1243</v>
      </c>
      <c r="I84" s="3" t="s">
        <v>1244</v>
      </c>
    </row>
    <row r="85" spans="1:9" ht="64" customHeight="1">
      <c r="A85" s="5" t="s">
        <v>1245</v>
      </c>
      <c r="B85" s="1" t="s">
        <v>32</v>
      </c>
      <c r="C85" s="1" t="s">
        <v>1246</v>
      </c>
      <c r="D85" s="1" t="s">
        <v>1247</v>
      </c>
      <c r="E85" s="1" t="s">
        <v>1248</v>
      </c>
      <c r="F85" s="1" t="s">
        <v>304</v>
      </c>
      <c r="G85" s="1" t="s">
        <v>306</v>
      </c>
      <c r="H85" s="1" t="s">
        <v>1249</v>
      </c>
      <c r="I85" s="1" t="s">
        <v>1250</v>
      </c>
    </row>
    <row r="86" spans="1:9" ht="81.25" customHeight="1">
      <c r="A86" s="4" t="s">
        <v>1251</v>
      </c>
      <c r="B86" s="3" t="s">
        <v>32</v>
      </c>
      <c r="C86" s="3" t="s">
        <v>1252</v>
      </c>
      <c r="D86" s="3" t="s">
        <v>1253</v>
      </c>
      <c r="E86" s="3" t="s">
        <v>1254</v>
      </c>
      <c r="F86" s="3" t="s">
        <v>1255</v>
      </c>
      <c r="G86" s="3" t="s">
        <v>59</v>
      </c>
      <c r="H86" s="3" t="s">
        <v>1256</v>
      </c>
      <c r="I86" s="3" t="s">
        <v>1214</v>
      </c>
    </row>
    <row r="87" spans="1:9" ht="81.25" customHeight="1">
      <c r="A87" s="5" t="s">
        <v>1257</v>
      </c>
      <c r="B87" s="1" t="s">
        <v>32</v>
      </c>
      <c r="C87" s="1" t="s">
        <v>1258</v>
      </c>
      <c r="D87" s="1" t="s">
        <v>1259</v>
      </c>
      <c r="E87" s="1" t="s">
        <v>1260</v>
      </c>
      <c r="F87" s="1" t="s">
        <v>1261</v>
      </c>
      <c r="G87" s="1" t="s">
        <v>59</v>
      </c>
      <c r="H87" s="1" t="s">
        <v>1262</v>
      </c>
      <c r="I87" s="1" t="s">
        <v>1263</v>
      </c>
    </row>
    <row r="88" spans="1:9" ht="81.25" customHeight="1">
      <c r="A88" s="4" t="s">
        <v>1264</v>
      </c>
      <c r="B88" s="3" t="s">
        <v>32</v>
      </c>
      <c r="C88" s="3" t="s">
        <v>1265</v>
      </c>
      <c r="D88" s="3" t="s">
        <v>1266</v>
      </c>
      <c r="E88" s="3" t="s">
        <v>1267</v>
      </c>
      <c r="F88" s="3" t="s">
        <v>619</v>
      </c>
      <c r="G88" s="3" t="s">
        <v>59</v>
      </c>
      <c r="H88" s="3" t="s">
        <v>1268</v>
      </c>
      <c r="I88" s="3" t="s">
        <v>1269</v>
      </c>
    </row>
    <row r="89" spans="1:9" ht="81.25" customHeight="1">
      <c r="A89" s="5" t="s">
        <v>1270</v>
      </c>
      <c r="B89" s="1" t="s">
        <v>32</v>
      </c>
      <c r="C89" s="1" t="s">
        <v>1271</v>
      </c>
      <c r="D89" s="1" t="s">
        <v>1272</v>
      </c>
      <c r="E89" s="1" t="s">
        <v>1273</v>
      </c>
      <c r="F89" s="1" t="s">
        <v>654</v>
      </c>
      <c r="G89" s="1" t="s">
        <v>1274</v>
      </c>
      <c r="H89" s="1" t="s">
        <v>1275</v>
      </c>
      <c r="I89" s="1" t="s">
        <v>1276</v>
      </c>
    </row>
    <row r="90" spans="1:9" ht="81.25" customHeight="1">
      <c r="A90" s="4" t="s">
        <v>1277</v>
      </c>
      <c r="B90" s="3" t="s">
        <v>32</v>
      </c>
      <c r="C90" s="3" t="s">
        <v>700</v>
      </c>
      <c r="D90" s="3" t="s">
        <v>1278</v>
      </c>
      <c r="E90" s="3" t="s">
        <v>1279</v>
      </c>
      <c r="F90" s="3" t="s">
        <v>699</v>
      </c>
      <c r="G90" s="3" t="s">
        <v>59</v>
      </c>
      <c r="H90" s="3" t="s">
        <v>1280</v>
      </c>
      <c r="I90" s="3" t="s">
        <v>1281</v>
      </c>
    </row>
  </sheetData>
  <mergeCells count="2">
    <mergeCell ref="A1:I1"/>
    <mergeCell ref="A2:I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topLeftCell="A15" workbookViewId="0">
      <selection sqref="A1:I1"/>
    </sheetView>
  </sheetViews>
  <sheetFormatPr baseColWidth="10" defaultColWidth="8.83203125" defaultRowHeight="14"/>
  <cols>
    <col min="1" max="1" width="11" customWidth="1"/>
    <col min="2" max="2" width="27" customWidth="1"/>
    <col min="3" max="3" width="24" customWidth="1"/>
    <col min="4" max="5" width="35" customWidth="1"/>
    <col min="6" max="6" width="40" customWidth="1"/>
    <col min="7" max="7" width="37" customWidth="1"/>
    <col min="8" max="8" width="24" customWidth="1"/>
    <col min="9" max="9" width="29" customWidth="1"/>
  </cols>
  <sheetData>
    <row r="1" spans="1:9" ht="50.75" customHeight="1">
      <c r="A1" s="16" t="s">
        <v>1282</v>
      </c>
      <c r="B1" s="16"/>
      <c r="C1" s="16"/>
      <c r="D1" s="16"/>
      <c r="E1" s="16"/>
      <c r="F1" s="16"/>
      <c r="G1" s="16"/>
      <c r="H1" s="16"/>
      <c r="I1" s="16"/>
    </row>
    <row r="2" spans="1:9" ht="28" customHeight="1">
      <c r="A2" s="17" t="s">
        <v>1283</v>
      </c>
      <c r="B2" s="17"/>
      <c r="C2" s="17"/>
      <c r="D2" s="17"/>
      <c r="E2" s="17"/>
      <c r="F2" s="17"/>
      <c r="G2" s="17"/>
      <c r="H2" s="17"/>
      <c r="I2" s="17"/>
    </row>
    <row r="3" spans="1:9" ht="28" customHeight="1">
      <c r="A3" s="17"/>
      <c r="B3" s="17"/>
      <c r="C3" s="17"/>
      <c r="D3" s="17"/>
      <c r="E3" s="17"/>
      <c r="F3" s="17"/>
      <c r="G3" s="17"/>
      <c r="H3" s="17"/>
      <c r="I3" s="17"/>
    </row>
    <row r="4" spans="1:9" ht="13.2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1.25" customHeight="1">
      <c r="A5" s="2" t="s">
        <v>1284</v>
      </c>
      <c r="B5" s="2" t="s">
        <v>1285</v>
      </c>
      <c r="C5" s="2" t="s">
        <v>1286</v>
      </c>
      <c r="D5" s="2" t="s">
        <v>1287</v>
      </c>
      <c r="E5" s="2" t="s">
        <v>1288</v>
      </c>
      <c r="F5" s="2" t="s">
        <v>1289</v>
      </c>
      <c r="G5" s="2" t="s">
        <v>1290</v>
      </c>
      <c r="H5" s="2" t="s">
        <v>49</v>
      </c>
      <c r="I5" s="2" t="s">
        <v>1291</v>
      </c>
    </row>
    <row r="6" spans="1:9" ht="64" customHeight="1">
      <c r="A6" s="4" t="s">
        <v>1292</v>
      </c>
      <c r="B6" s="3" t="s">
        <v>1293</v>
      </c>
      <c r="C6" s="3" t="s">
        <v>1294</v>
      </c>
      <c r="D6" s="3" t="s">
        <v>1295</v>
      </c>
      <c r="E6" s="3" t="s">
        <v>1296</v>
      </c>
      <c r="F6" s="3" t="s">
        <v>1297</v>
      </c>
      <c r="G6" s="3" t="s">
        <v>1298</v>
      </c>
      <c r="H6" s="3" t="s">
        <v>942</v>
      </c>
      <c r="I6" s="3" t="s">
        <v>1299</v>
      </c>
    </row>
    <row r="7" spans="1:9" ht="81.25" customHeight="1">
      <c r="A7" s="5" t="s">
        <v>1300</v>
      </c>
      <c r="B7" s="1" t="s">
        <v>1301</v>
      </c>
      <c r="C7" s="1" t="s">
        <v>1302</v>
      </c>
      <c r="D7" s="1" t="s">
        <v>1303</v>
      </c>
      <c r="E7" s="1" t="s">
        <v>1304</v>
      </c>
      <c r="F7" s="1" t="s">
        <v>1305</v>
      </c>
      <c r="G7" s="1" t="s">
        <v>1306</v>
      </c>
      <c r="H7" s="1" t="s">
        <v>1307</v>
      </c>
      <c r="I7" s="1" t="s">
        <v>1308</v>
      </c>
    </row>
    <row r="8" spans="1:9" ht="64" customHeight="1">
      <c r="A8" s="4" t="s">
        <v>1309</v>
      </c>
      <c r="B8" s="3" t="s">
        <v>1310</v>
      </c>
      <c r="C8" s="3" t="s">
        <v>1302</v>
      </c>
      <c r="D8" s="3" t="s">
        <v>1311</v>
      </c>
      <c r="E8" s="3" t="s">
        <v>1312</v>
      </c>
      <c r="F8" s="3" t="s">
        <v>1313</v>
      </c>
      <c r="G8" s="3" t="s">
        <v>1314</v>
      </c>
      <c r="H8" s="3" t="s">
        <v>1315</v>
      </c>
      <c r="I8" s="3" t="s">
        <v>1316</v>
      </c>
    </row>
    <row r="9" spans="1:9" ht="64" customHeight="1">
      <c r="A9" s="5" t="s">
        <v>1317</v>
      </c>
      <c r="B9" s="1" t="s">
        <v>1318</v>
      </c>
      <c r="C9" s="1" t="s">
        <v>1319</v>
      </c>
      <c r="D9" s="1" t="s">
        <v>1320</v>
      </c>
      <c r="E9" s="1" t="s">
        <v>1321</v>
      </c>
      <c r="F9" s="1" t="s">
        <v>1322</v>
      </c>
      <c r="G9" s="1" t="s">
        <v>1323</v>
      </c>
      <c r="H9" s="1" t="s">
        <v>296</v>
      </c>
      <c r="I9" s="1" t="s">
        <v>1324</v>
      </c>
    </row>
    <row r="10" spans="1:9" ht="64" customHeight="1">
      <c r="A10" s="4" t="s">
        <v>1325</v>
      </c>
      <c r="B10" s="3" t="s">
        <v>1326</v>
      </c>
      <c r="C10" s="3" t="s">
        <v>1294</v>
      </c>
      <c r="D10" s="3" t="s">
        <v>1327</v>
      </c>
      <c r="E10" s="3" t="s">
        <v>1328</v>
      </c>
      <c r="F10" s="3" t="s">
        <v>1329</v>
      </c>
      <c r="G10" s="3" t="s">
        <v>1330</v>
      </c>
      <c r="H10" s="3" t="s">
        <v>1331</v>
      </c>
      <c r="I10" s="3" t="s">
        <v>1332</v>
      </c>
    </row>
    <row r="11" spans="1:9" ht="81.25" customHeight="1">
      <c r="A11" s="5" t="s">
        <v>1333</v>
      </c>
      <c r="B11" s="1" t="s">
        <v>1334</v>
      </c>
      <c r="C11" s="1" t="s">
        <v>1294</v>
      </c>
      <c r="D11" s="1" t="s">
        <v>1335</v>
      </c>
      <c r="E11" s="1" t="s">
        <v>1336</v>
      </c>
      <c r="F11" s="1" t="s">
        <v>1337</v>
      </c>
      <c r="G11" s="1" t="s">
        <v>1338</v>
      </c>
      <c r="H11" s="1" t="s">
        <v>1339</v>
      </c>
      <c r="I11" s="1" t="s">
        <v>1340</v>
      </c>
    </row>
    <row r="12" spans="1:9" ht="64" customHeight="1">
      <c r="A12" s="4" t="s">
        <v>1341</v>
      </c>
      <c r="B12" s="3" t="s">
        <v>1342</v>
      </c>
      <c r="C12" s="3" t="s">
        <v>1294</v>
      </c>
      <c r="D12" s="3" t="s">
        <v>1343</v>
      </c>
      <c r="E12" s="3" t="s">
        <v>1344</v>
      </c>
      <c r="F12" s="3" t="s">
        <v>1345</v>
      </c>
      <c r="G12" s="3" t="s">
        <v>1346</v>
      </c>
      <c r="H12" s="3" t="s">
        <v>1347</v>
      </c>
      <c r="I12" s="3" t="s">
        <v>1348</v>
      </c>
    </row>
    <row r="13" spans="1:9" ht="64" customHeight="1">
      <c r="A13" s="5" t="s">
        <v>226</v>
      </c>
      <c r="B13" s="1" t="s">
        <v>1349</v>
      </c>
      <c r="C13" s="1" t="s">
        <v>1350</v>
      </c>
      <c r="D13" s="1" t="s">
        <v>1351</v>
      </c>
      <c r="E13" s="1" t="s">
        <v>1352</v>
      </c>
      <c r="F13" s="1" t="s">
        <v>1353</v>
      </c>
      <c r="G13" s="1" t="s">
        <v>1354</v>
      </c>
      <c r="H13" s="1" t="s">
        <v>1355</v>
      </c>
      <c r="I13" s="1" t="s">
        <v>1356</v>
      </c>
    </row>
    <row r="14" spans="1:9" ht="64" customHeight="1">
      <c r="A14" s="4" t="s">
        <v>1357</v>
      </c>
      <c r="B14" s="3" t="s">
        <v>1358</v>
      </c>
      <c r="C14" s="3" t="s">
        <v>1359</v>
      </c>
      <c r="D14" s="3" t="s">
        <v>1360</v>
      </c>
      <c r="E14" s="3" t="s">
        <v>1361</v>
      </c>
      <c r="F14" s="3" t="s">
        <v>1362</v>
      </c>
      <c r="G14" s="3" t="s">
        <v>1363</v>
      </c>
      <c r="H14" s="3" t="s">
        <v>1364</v>
      </c>
      <c r="I14" s="3" t="s">
        <v>1365</v>
      </c>
    </row>
    <row r="15" spans="1:9" ht="64" customHeight="1">
      <c r="A15" s="5" t="s">
        <v>1366</v>
      </c>
      <c r="B15" s="1" t="s">
        <v>1367</v>
      </c>
      <c r="C15" s="1" t="s">
        <v>1368</v>
      </c>
      <c r="D15" s="1" t="s">
        <v>1369</v>
      </c>
      <c r="E15" s="1" t="s">
        <v>1370</v>
      </c>
      <c r="F15" s="1" t="s">
        <v>1371</v>
      </c>
      <c r="G15" s="1" t="s">
        <v>1372</v>
      </c>
      <c r="H15" s="1" t="s">
        <v>1373</v>
      </c>
      <c r="I15" s="1" t="s">
        <v>1173</v>
      </c>
    </row>
    <row r="16" spans="1:9" ht="81.25" customHeight="1">
      <c r="A16" s="4" t="s">
        <v>1374</v>
      </c>
      <c r="B16" s="3" t="s">
        <v>1375</v>
      </c>
      <c r="C16" s="3" t="s">
        <v>1376</v>
      </c>
      <c r="D16" s="3" t="s">
        <v>1377</v>
      </c>
      <c r="E16" s="3" t="s">
        <v>1378</v>
      </c>
      <c r="F16" s="3" t="s">
        <v>1379</v>
      </c>
      <c r="G16" s="3" t="s">
        <v>1380</v>
      </c>
      <c r="H16" s="3" t="s">
        <v>1381</v>
      </c>
      <c r="I16" s="3" t="s">
        <v>1382</v>
      </c>
    </row>
    <row r="17" spans="1:9" ht="64" customHeight="1">
      <c r="A17" s="5" t="s">
        <v>1383</v>
      </c>
      <c r="B17" s="1" t="s">
        <v>1384</v>
      </c>
      <c r="C17" s="1" t="s">
        <v>1385</v>
      </c>
      <c r="D17" s="1" t="s">
        <v>1386</v>
      </c>
      <c r="E17" s="1" t="s">
        <v>1387</v>
      </c>
      <c r="F17" s="1" t="s">
        <v>1388</v>
      </c>
      <c r="G17" s="1" t="s">
        <v>1389</v>
      </c>
      <c r="H17" s="1" t="s">
        <v>1390</v>
      </c>
      <c r="I17" s="1" t="s">
        <v>1391</v>
      </c>
    </row>
    <row r="18" spans="1:9" ht="64" customHeight="1">
      <c r="A18" s="4" t="s">
        <v>1392</v>
      </c>
      <c r="B18" s="3" t="s">
        <v>1393</v>
      </c>
      <c r="C18" s="3" t="s">
        <v>1368</v>
      </c>
      <c r="D18" s="3" t="s">
        <v>1394</v>
      </c>
      <c r="E18" s="3" t="s">
        <v>1395</v>
      </c>
      <c r="F18" s="3" t="s">
        <v>1396</v>
      </c>
      <c r="G18" s="3" t="s">
        <v>1397</v>
      </c>
      <c r="H18" s="3" t="s">
        <v>892</v>
      </c>
      <c r="I18" s="3" t="s">
        <v>888</v>
      </c>
    </row>
    <row r="19" spans="1:9" ht="64" customHeight="1">
      <c r="A19" s="5" t="s">
        <v>1398</v>
      </c>
      <c r="B19" s="1" t="s">
        <v>1399</v>
      </c>
      <c r="C19" s="1" t="s">
        <v>1400</v>
      </c>
      <c r="D19" s="1" t="s">
        <v>1401</v>
      </c>
      <c r="E19" s="1" t="s">
        <v>1402</v>
      </c>
      <c r="F19" s="1" t="s">
        <v>1403</v>
      </c>
      <c r="G19" s="1" t="s">
        <v>1404</v>
      </c>
      <c r="H19" s="1" t="s">
        <v>1405</v>
      </c>
      <c r="I19" s="1" t="s">
        <v>1406</v>
      </c>
    </row>
    <row r="20" spans="1:9" ht="64" customHeight="1">
      <c r="A20" s="4" t="s">
        <v>1407</v>
      </c>
      <c r="B20" s="3" t="s">
        <v>1408</v>
      </c>
      <c r="C20" s="3" t="s">
        <v>1385</v>
      </c>
      <c r="D20" s="3" t="s">
        <v>1409</v>
      </c>
      <c r="E20" s="3" t="s">
        <v>1410</v>
      </c>
      <c r="F20" s="3" t="s">
        <v>1411</v>
      </c>
      <c r="G20" s="3" t="s">
        <v>1412</v>
      </c>
      <c r="H20" s="3" t="s">
        <v>1413</v>
      </c>
      <c r="I20" s="3" t="s">
        <v>1414</v>
      </c>
    </row>
    <row r="21" spans="1:9" ht="64" customHeight="1">
      <c r="A21" s="5" t="s">
        <v>1415</v>
      </c>
      <c r="B21" s="1" t="s">
        <v>1416</v>
      </c>
      <c r="C21" s="1" t="s">
        <v>1417</v>
      </c>
      <c r="D21" s="1" t="s">
        <v>1418</v>
      </c>
      <c r="E21" s="1" t="s">
        <v>1419</v>
      </c>
      <c r="F21" s="1" t="s">
        <v>1420</v>
      </c>
      <c r="G21" s="1" t="s">
        <v>1421</v>
      </c>
      <c r="H21" s="1" t="s">
        <v>346</v>
      </c>
      <c r="I21" s="1" t="s">
        <v>1110</v>
      </c>
    </row>
    <row r="22" spans="1:9" ht="64" customHeight="1">
      <c r="A22" s="4" t="s">
        <v>1422</v>
      </c>
      <c r="B22" s="3" t="s">
        <v>1423</v>
      </c>
      <c r="C22" s="3" t="s">
        <v>1294</v>
      </c>
      <c r="D22" s="3" t="s">
        <v>1424</v>
      </c>
      <c r="E22" s="3" t="s">
        <v>1425</v>
      </c>
      <c r="F22" s="3" t="s">
        <v>1426</v>
      </c>
      <c r="G22" s="3" t="s">
        <v>1427</v>
      </c>
      <c r="H22" s="3" t="s">
        <v>674</v>
      </c>
      <c r="I22" s="3" t="s">
        <v>1428</v>
      </c>
    </row>
    <row r="23" spans="1:9" ht="64" customHeight="1">
      <c r="A23" s="5" t="s">
        <v>1429</v>
      </c>
      <c r="B23" s="1" t="s">
        <v>1430</v>
      </c>
      <c r="C23" s="1" t="s">
        <v>1431</v>
      </c>
      <c r="D23" s="1" t="s">
        <v>1432</v>
      </c>
      <c r="E23" s="1" t="s">
        <v>1433</v>
      </c>
      <c r="F23" s="1" t="s">
        <v>1434</v>
      </c>
      <c r="G23" s="1" t="s">
        <v>1435</v>
      </c>
      <c r="H23" s="1" t="s">
        <v>680</v>
      </c>
      <c r="I23" s="1" t="s">
        <v>1004</v>
      </c>
    </row>
  </sheetData>
  <mergeCells count="2">
    <mergeCell ref="A1:I1"/>
    <mergeCell ref="A2:I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"/>
  <sheetViews>
    <sheetView workbookViewId="0">
      <selection sqref="A1:L1"/>
    </sheetView>
  </sheetViews>
  <sheetFormatPr baseColWidth="10" defaultColWidth="8.83203125" defaultRowHeight="14"/>
  <cols>
    <col min="1" max="1" width="11" customWidth="1"/>
    <col min="2" max="2" width="26" customWidth="1"/>
    <col min="3" max="3" width="22" customWidth="1"/>
    <col min="4" max="4" width="28" customWidth="1"/>
    <col min="5" max="5" width="35" customWidth="1"/>
    <col min="6" max="6" width="30" customWidth="1"/>
    <col min="7" max="7" width="34" customWidth="1"/>
    <col min="8" max="8" width="38" customWidth="1"/>
    <col min="9" max="10" width="40" customWidth="1"/>
    <col min="11" max="11" width="28" customWidth="1"/>
    <col min="12" max="12" width="22" customWidth="1"/>
  </cols>
  <sheetData>
    <row r="1" spans="1:12" ht="50.75" customHeight="1">
      <c r="A1" s="16" t="s">
        <v>1436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8" customHeight="1">
      <c r="A2" s="17" t="s">
        <v>1437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8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3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1.25" customHeight="1">
      <c r="A5" s="2" t="s">
        <v>1438</v>
      </c>
      <c r="B5" s="2" t="s">
        <v>1439</v>
      </c>
      <c r="C5" s="2" t="s">
        <v>51</v>
      </c>
      <c r="D5" s="2" t="s">
        <v>52</v>
      </c>
      <c r="E5" s="2" t="s">
        <v>1440</v>
      </c>
      <c r="F5" s="2" t="s">
        <v>1441</v>
      </c>
      <c r="G5" s="2" t="s">
        <v>1442</v>
      </c>
      <c r="H5" s="2" t="s">
        <v>1443</v>
      </c>
      <c r="I5" s="2" t="s">
        <v>1444</v>
      </c>
      <c r="J5" s="2" t="s">
        <v>1445</v>
      </c>
      <c r="K5" s="2" t="s">
        <v>49</v>
      </c>
      <c r="L5" s="2" t="s">
        <v>1446</v>
      </c>
    </row>
    <row r="6" spans="1:12" ht="64" customHeight="1">
      <c r="A6" s="4" t="s">
        <v>1447</v>
      </c>
      <c r="B6" s="3" t="s">
        <v>1448</v>
      </c>
      <c r="C6" s="3" t="s">
        <v>59</v>
      </c>
      <c r="D6" s="3" t="s">
        <v>1449</v>
      </c>
      <c r="E6" s="3" t="s">
        <v>1450</v>
      </c>
      <c r="F6" s="3" t="s">
        <v>1451</v>
      </c>
      <c r="G6" s="3" t="s">
        <v>1452</v>
      </c>
      <c r="H6" s="3" t="s">
        <v>1453</v>
      </c>
      <c r="I6" s="3" t="s">
        <v>1454</v>
      </c>
      <c r="J6" s="3" t="s">
        <v>1455</v>
      </c>
      <c r="K6" s="3" t="s">
        <v>1456</v>
      </c>
      <c r="L6" s="3" t="s">
        <v>1457</v>
      </c>
    </row>
    <row r="7" spans="1:12" ht="64" customHeight="1">
      <c r="A7" s="5" t="s">
        <v>1458</v>
      </c>
      <c r="B7" s="1" t="s">
        <v>1459</v>
      </c>
      <c r="C7" s="1" t="s">
        <v>59</v>
      </c>
      <c r="D7" s="1" t="s">
        <v>1460</v>
      </c>
      <c r="E7" s="1" t="s">
        <v>1461</v>
      </c>
      <c r="F7" s="1" t="s">
        <v>1462</v>
      </c>
      <c r="G7" s="1" t="s">
        <v>1463</v>
      </c>
      <c r="H7" s="1" t="s">
        <v>1464</v>
      </c>
      <c r="I7" s="1" t="s">
        <v>1465</v>
      </c>
      <c r="J7" s="1" t="s">
        <v>1466</v>
      </c>
      <c r="K7" s="1" t="s">
        <v>1467</v>
      </c>
      <c r="L7" s="1" t="s">
        <v>1333</v>
      </c>
    </row>
    <row r="8" spans="1:12" ht="64" customHeight="1">
      <c r="A8" s="4" t="s">
        <v>1468</v>
      </c>
      <c r="B8" s="3" t="s">
        <v>1469</v>
      </c>
      <c r="C8" s="3" t="s">
        <v>59</v>
      </c>
      <c r="D8" s="3" t="s">
        <v>1460</v>
      </c>
      <c r="E8" s="3" t="s">
        <v>1470</v>
      </c>
      <c r="F8" s="3" t="s">
        <v>1471</v>
      </c>
      <c r="G8" s="3" t="s">
        <v>1472</v>
      </c>
      <c r="H8" s="3" t="s">
        <v>1473</v>
      </c>
      <c r="I8" s="3" t="s">
        <v>1474</v>
      </c>
      <c r="J8" s="3" t="s">
        <v>1475</v>
      </c>
      <c r="K8" s="3" t="s">
        <v>1476</v>
      </c>
      <c r="L8" s="3" t="s">
        <v>1333</v>
      </c>
    </row>
    <row r="9" spans="1:12" ht="64" customHeight="1">
      <c r="A9" s="5" t="s">
        <v>1477</v>
      </c>
      <c r="B9" s="1" t="s">
        <v>1478</v>
      </c>
      <c r="C9" s="1" t="s">
        <v>206</v>
      </c>
      <c r="D9" s="1" t="s">
        <v>1479</v>
      </c>
      <c r="E9" s="1" t="s">
        <v>1480</v>
      </c>
      <c r="F9" s="1" t="s">
        <v>1481</v>
      </c>
      <c r="G9" s="1" t="s">
        <v>1482</v>
      </c>
      <c r="H9" s="1" t="s">
        <v>1483</v>
      </c>
      <c r="I9" s="1" t="s">
        <v>1484</v>
      </c>
      <c r="J9" s="1" t="s">
        <v>1485</v>
      </c>
      <c r="K9" s="1" t="s">
        <v>1486</v>
      </c>
      <c r="L9" s="1" t="s">
        <v>226</v>
      </c>
    </row>
    <row r="10" spans="1:12" ht="64" customHeight="1">
      <c r="A10" s="4" t="s">
        <v>1487</v>
      </c>
      <c r="B10" s="3" t="s">
        <v>1488</v>
      </c>
      <c r="C10" s="3" t="s">
        <v>59</v>
      </c>
      <c r="D10" s="3" t="s">
        <v>1489</v>
      </c>
      <c r="E10" s="3" t="s">
        <v>1490</v>
      </c>
      <c r="F10" s="3" t="s">
        <v>1491</v>
      </c>
      <c r="G10" s="3" t="s">
        <v>1492</v>
      </c>
      <c r="H10" s="3" t="s">
        <v>1493</v>
      </c>
      <c r="I10" s="3" t="s">
        <v>1241</v>
      </c>
      <c r="J10" s="3" t="s">
        <v>1494</v>
      </c>
      <c r="K10" s="3" t="s">
        <v>1495</v>
      </c>
      <c r="L10" s="3" t="s">
        <v>1496</v>
      </c>
    </row>
    <row r="11" spans="1:12" ht="64" customHeight="1">
      <c r="A11" s="5" t="s">
        <v>1497</v>
      </c>
      <c r="B11" s="1" t="s">
        <v>1498</v>
      </c>
      <c r="C11" s="1" t="s">
        <v>1499</v>
      </c>
      <c r="D11" s="1" t="s">
        <v>1500</v>
      </c>
      <c r="E11" s="1" t="s">
        <v>1501</v>
      </c>
      <c r="F11" s="1" t="s">
        <v>1502</v>
      </c>
      <c r="G11" s="1" t="s">
        <v>1503</v>
      </c>
      <c r="H11" s="1" t="s">
        <v>1504</v>
      </c>
      <c r="I11" s="1" t="s">
        <v>1505</v>
      </c>
      <c r="J11" s="1" t="s">
        <v>1506</v>
      </c>
      <c r="K11" s="1" t="s">
        <v>1507</v>
      </c>
      <c r="L11" s="1" t="s">
        <v>1508</v>
      </c>
    </row>
    <row r="12" spans="1:12" ht="64" customHeight="1">
      <c r="A12" s="4" t="s">
        <v>316</v>
      </c>
      <c r="B12" s="3" t="s">
        <v>1509</v>
      </c>
      <c r="C12" s="3" t="s">
        <v>306</v>
      </c>
      <c r="D12" s="3" t="s">
        <v>1510</v>
      </c>
      <c r="E12" s="3" t="s">
        <v>1511</v>
      </c>
      <c r="F12" s="3" t="s">
        <v>1512</v>
      </c>
      <c r="G12" s="3" t="s">
        <v>1513</v>
      </c>
      <c r="H12" s="3" t="s">
        <v>1514</v>
      </c>
      <c r="I12" s="3" t="s">
        <v>1515</v>
      </c>
      <c r="J12" s="3" t="s">
        <v>1516</v>
      </c>
      <c r="K12" s="3" t="s">
        <v>1517</v>
      </c>
      <c r="L12" s="3" t="s">
        <v>1309</v>
      </c>
    </row>
    <row r="13" spans="1:12" ht="64" customHeight="1">
      <c r="A13" s="5" t="s">
        <v>1518</v>
      </c>
      <c r="B13" s="1" t="s">
        <v>1519</v>
      </c>
      <c r="C13" s="1" t="s">
        <v>59</v>
      </c>
      <c r="D13" s="1" t="s">
        <v>1520</v>
      </c>
      <c r="E13" s="1" t="s">
        <v>1521</v>
      </c>
      <c r="F13" s="1" t="s">
        <v>1522</v>
      </c>
      <c r="G13" s="1" t="s">
        <v>1523</v>
      </c>
      <c r="H13" s="1" t="s">
        <v>1524</v>
      </c>
      <c r="I13" s="1" t="s">
        <v>1525</v>
      </c>
      <c r="J13" s="1" t="s">
        <v>1526</v>
      </c>
      <c r="K13" s="1" t="s">
        <v>1527</v>
      </c>
      <c r="L13" s="1" t="s">
        <v>1407</v>
      </c>
    </row>
    <row r="14" spans="1:12" ht="64" customHeight="1">
      <c r="A14" s="4" t="s">
        <v>1528</v>
      </c>
      <c r="B14" s="3" t="s">
        <v>1529</v>
      </c>
      <c r="C14" s="3" t="s">
        <v>59</v>
      </c>
      <c r="D14" s="3" t="s">
        <v>1530</v>
      </c>
      <c r="E14" s="3" t="s">
        <v>1531</v>
      </c>
      <c r="F14" s="3" t="s">
        <v>1532</v>
      </c>
      <c r="G14" s="3" t="s">
        <v>1533</v>
      </c>
      <c r="H14" s="3" t="s">
        <v>1534</v>
      </c>
      <c r="I14" s="3" t="s">
        <v>1535</v>
      </c>
      <c r="J14" s="3" t="s">
        <v>1536</v>
      </c>
      <c r="K14" s="3" t="s">
        <v>1537</v>
      </c>
      <c r="L14" s="3" t="s">
        <v>1341</v>
      </c>
    </row>
    <row r="15" spans="1:12" ht="64" customHeight="1">
      <c r="A15" s="5" t="s">
        <v>1538</v>
      </c>
      <c r="B15" s="1" t="s">
        <v>1539</v>
      </c>
      <c r="C15" s="1" t="s">
        <v>59</v>
      </c>
      <c r="D15" s="1" t="s">
        <v>147</v>
      </c>
      <c r="E15" s="1" t="s">
        <v>1540</v>
      </c>
      <c r="F15" s="1" t="s">
        <v>1541</v>
      </c>
      <c r="G15" s="1" t="s">
        <v>1542</v>
      </c>
      <c r="H15" s="1" t="s">
        <v>1543</v>
      </c>
      <c r="I15" s="1" t="s">
        <v>1544</v>
      </c>
      <c r="J15" s="1" t="s">
        <v>1545</v>
      </c>
      <c r="K15" s="1" t="s">
        <v>400</v>
      </c>
      <c r="L15" s="1" t="s">
        <v>1341</v>
      </c>
    </row>
    <row r="16" spans="1:12" ht="64" customHeight="1">
      <c r="A16" s="4" t="s">
        <v>1546</v>
      </c>
      <c r="B16" s="3" t="s">
        <v>1547</v>
      </c>
      <c r="C16" s="3" t="s">
        <v>428</v>
      </c>
      <c r="D16" s="3" t="s">
        <v>1548</v>
      </c>
      <c r="E16" s="3" t="s">
        <v>1549</v>
      </c>
      <c r="F16" s="3" t="s">
        <v>1550</v>
      </c>
      <c r="G16" s="3" t="s">
        <v>1551</v>
      </c>
      <c r="H16" s="3" t="s">
        <v>1552</v>
      </c>
      <c r="I16" s="3" t="s">
        <v>1553</v>
      </c>
      <c r="J16" s="3" t="s">
        <v>1554</v>
      </c>
      <c r="K16" s="3" t="s">
        <v>1364</v>
      </c>
      <c r="L16" s="3" t="s">
        <v>1357</v>
      </c>
    </row>
    <row r="17" spans="1:12" ht="81.25" customHeight="1">
      <c r="A17" s="5" t="s">
        <v>1555</v>
      </c>
      <c r="B17" s="1" t="s">
        <v>1556</v>
      </c>
      <c r="C17" s="1" t="s">
        <v>1557</v>
      </c>
      <c r="D17" s="1" t="s">
        <v>1558</v>
      </c>
      <c r="E17" s="1" t="s">
        <v>1559</v>
      </c>
      <c r="F17" s="1" t="s">
        <v>1560</v>
      </c>
      <c r="G17" s="1" t="s">
        <v>1561</v>
      </c>
      <c r="H17" s="1" t="s">
        <v>1562</v>
      </c>
      <c r="I17" s="1" t="s">
        <v>1563</v>
      </c>
      <c r="J17" s="1" t="s">
        <v>1564</v>
      </c>
      <c r="K17" s="1" t="s">
        <v>892</v>
      </c>
      <c r="L17" s="1" t="s">
        <v>1392</v>
      </c>
    </row>
    <row r="18" spans="1:12" ht="64" customHeight="1">
      <c r="A18" s="4" t="s">
        <v>1565</v>
      </c>
      <c r="B18" s="3" t="s">
        <v>1566</v>
      </c>
      <c r="C18" s="3" t="s">
        <v>1567</v>
      </c>
      <c r="D18" s="3" t="s">
        <v>1558</v>
      </c>
      <c r="E18" s="3" t="s">
        <v>1568</v>
      </c>
      <c r="F18" s="3" t="s">
        <v>1569</v>
      </c>
      <c r="G18" s="3" t="s">
        <v>1570</v>
      </c>
      <c r="H18" s="3" t="s">
        <v>1571</v>
      </c>
      <c r="I18" s="3" t="s">
        <v>1572</v>
      </c>
      <c r="J18" s="3" t="s">
        <v>1573</v>
      </c>
      <c r="K18" s="3" t="s">
        <v>483</v>
      </c>
      <c r="L18" s="3" t="s">
        <v>1366</v>
      </c>
    </row>
    <row r="19" spans="1:12" ht="64" customHeight="1">
      <c r="A19" s="5" t="s">
        <v>549</v>
      </c>
      <c r="B19" s="1" t="s">
        <v>1574</v>
      </c>
      <c r="C19" s="1" t="s">
        <v>1575</v>
      </c>
      <c r="D19" s="1" t="s">
        <v>1576</v>
      </c>
      <c r="E19" s="1" t="s">
        <v>1577</v>
      </c>
      <c r="F19" s="1" t="s">
        <v>1578</v>
      </c>
      <c r="G19" s="1" t="s">
        <v>1579</v>
      </c>
      <c r="H19" s="1" t="s">
        <v>1580</v>
      </c>
      <c r="I19" s="1" t="s">
        <v>1581</v>
      </c>
      <c r="J19" s="1" t="s">
        <v>1582</v>
      </c>
      <c r="K19" s="1" t="s">
        <v>1583</v>
      </c>
      <c r="L19" s="1"/>
    </row>
    <row r="20" spans="1:12" ht="64" customHeight="1">
      <c r="A20" s="4" t="s">
        <v>605</v>
      </c>
      <c r="B20" s="3" t="s">
        <v>1584</v>
      </c>
      <c r="C20" s="3" t="s">
        <v>59</v>
      </c>
      <c r="D20" s="3" t="s">
        <v>1585</v>
      </c>
      <c r="E20" s="3" t="s">
        <v>1586</v>
      </c>
      <c r="F20" s="3" t="s">
        <v>1587</v>
      </c>
      <c r="G20" s="3" t="s">
        <v>1588</v>
      </c>
      <c r="H20" s="3" t="s">
        <v>1589</v>
      </c>
      <c r="I20" s="3" t="s">
        <v>1590</v>
      </c>
      <c r="J20" s="3" t="s">
        <v>1591</v>
      </c>
      <c r="K20" s="3" t="s">
        <v>1592</v>
      </c>
      <c r="L20" s="3" t="s">
        <v>1374</v>
      </c>
    </row>
    <row r="21" spans="1:12" ht="81.25" customHeight="1">
      <c r="A21" s="5" t="s">
        <v>1593</v>
      </c>
      <c r="B21" s="1" t="s">
        <v>1594</v>
      </c>
      <c r="C21" s="1" t="s">
        <v>1595</v>
      </c>
      <c r="D21" s="1" t="s">
        <v>1596</v>
      </c>
      <c r="E21" s="1" t="s">
        <v>1597</v>
      </c>
      <c r="F21" s="1" t="s">
        <v>1598</v>
      </c>
      <c r="G21" s="1" t="s">
        <v>1599</v>
      </c>
      <c r="H21" s="1" t="s">
        <v>1600</v>
      </c>
      <c r="I21" s="1" t="s">
        <v>1601</v>
      </c>
      <c r="J21" s="1" t="s">
        <v>1602</v>
      </c>
      <c r="K21" s="1" t="s">
        <v>1603</v>
      </c>
      <c r="L21" s="1" t="s">
        <v>1604</v>
      </c>
    </row>
    <row r="22" spans="1:12" ht="64" customHeight="1">
      <c r="A22" s="4" t="s">
        <v>1605</v>
      </c>
      <c r="B22" s="3" t="s">
        <v>1606</v>
      </c>
      <c r="C22" s="3" t="s">
        <v>59</v>
      </c>
      <c r="D22" s="3" t="s">
        <v>1431</v>
      </c>
      <c r="E22" s="3" t="s">
        <v>1607</v>
      </c>
      <c r="F22" s="3" t="s">
        <v>1608</v>
      </c>
      <c r="G22" s="3" t="s">
        <v>1609</v>
      </c>
      <c r="H22" s="3" t="s">
        <v>1610</v>
      </c>
      <c r="I22" s="3" t="s">
        <v>1611</v>
      </c>
      <c r="J22" s="3" t="s">
        <v>1612</v>
      </c>
      <c r="K22" s="3" t="s">
        <v>1008</v>
      </c>
      <c r="L22" s="3" t="s">
        <v>1613</v>
      </c>
    </row>
    <row r="23" spans="1:12" ht="81.25" customHeight="1">
      <c r="A23" s="5" t="s">
        <v>697</v>
      </c>
      <c r="B23" s="1" t="s">
        <v>1614</v>
      </c>
      <c r="C23" s="1" t="s">
        <v>59</v>
      </c>
      <c r="D23" s="1" t="s">
        <v>1615</v>
      </c>
      <c r="E23" s="1" t="s">
        <v>1616</v>
      </c>
      <c r="F23" s="1" t="s">
        <v>1617</v>
      </c>
      <c r="G23" s="1" t="s">
        <v>1618</v>
      </c>
      <c r="H23" s="1" t="s">
        <v>1619</v>
      </c>
      <c r="I23" s="1" t="s">
        <v>1620</v>
      </c>
      <c r="J23" s="1" t="s">
        <v>1621</v>
      </c>
      <c r="K23" s="1" t="s">
        <v>1622</v>
      </c>
      <c r="L23" s="1" t="s">
        <v>1407</v>
      </c>
    </row>
    <row r="24" spans="1:12" ht="64" customHeight="1">
      <c r="A24" s="4" t="s">
        <v>1623</v>
      </c>
      <c r="B24" s="3" t="s">
        <v>1624</v>
      </c>
      <c r="C24" s="3" t="s">
        <v>59</v>
      </c>
      <c r="D24" s="3" t="s">
        <v>1625</v>
      </c>
      <c r="E24" s="3" t="s">
        <v>1626</v>
      </c>
      <c r="F24" s="3" t="s">
        <v>1627</v>
      </c>
      <c r="G24" s="3" t="s">
        <v>1628</v>
      </c>
      <c r="H24" s="3" t="s">
        <v>1629</v>
      </c>
      <c r="I24" s="3" t="s">
        <v>1630</v>
      </c>
      <c r="J24" s="3" t="s">
        <v>1631</v>
      </c>
      <c r="K24" s="3" t="s">
        <v>699</v>
      </c>
      <c r="L24" s="3"/>
    </row>
  </sheetData>
  <mergeCells count="2">
    <mergeCell ref="A1:L1"/>
    <mergeCell ref="A2:L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selection sqref="A1:E1"/>
    </sheetView>
  </sheetViews>
  <sheetFormatPr baseColWidth="10" defaultColWidth="8.83203125" defaultRowHeight="14"/>
  <cols>
    <col min="1" max="1" width="26" customWidth="1"/>
    <col min="2" max="2" width="25" customWidth="1"/>
    <col min="3" max="3" width="28" customWidth="1"/>
    <col min="4" max="4" width="40" customWidth="1"/>
    <col min="5" max="5" width="35" customWidth="1"/>
  </cols>
  <sheetData>
    <row r="1" spans="1:5" ht="50.75" customHeight="1">
      <c r="A1" s="16" t="s">
        <v>1632</v>
      </c>
      <c r="B1" s="16"/>
      <c r="C1" s="16"/>
      <c r="D1" s="16"/>
      <c r="E1" s="16"/>
    </row>
    <row r="2" spans="1:5" ht="28" customHeight="1">
      <c r="A2" s="17" t="s">
        <v>1633</v>
      </c>
      <c r="B2" s="17"/>
      <c r="C2" s="17"/>
      <c r="D2" s="17"/>
      <c r="E2" s="17"/>
    </row>
    <row r="3" spans="1:5" ht="28" customHeight="1">
      <c r="A3" s="17"/>
      <c r="B3" s="17"/>
      <c r="C3" s="17"/>
      <c r="D3" s="17"/>
      <c r="E3" s="17"/>
    </row>
    <row r="4" spans="1:5" ht="13.25" customHeight="1">
      <c r="A4" s="1"/>
      <c r="B4" s="1"/>
      <c r="C4" s="1"/>
      <c r="D4" s="1"/>
      <c r="E4" s="1"/>
    </row>
    <row r="5" spans="1:5" ht="41.25" customHeight="1">
      <c r="A5" s="2" t="s">
        <v>1634</v>
      </c>
      <c r="B5" s="2" t="s">
        <v>1635</v>
      </c>
      <c r="C5" s="2" t="s">
        <v>55</v>
      </c>
      <c r="D5" s="2" t="s">
        <v>1636</v>
      </c>
      <c r="E5" s="2" t="s">
        <v>1637</v>
      </c>
    </row>
    <row r="6" spans="1:5" ht="64" customHeight="1">
      <c r="A6" s="4" t="s">
        <v>1638</v>
      </c>
      <c r="B6" s="3" t="s">
        <v>1639</v>
      </c>
      <c r="C6" s="3" t="s">
        <v>59</v>
      </c>
      <c r="D6" s="3" t="s">
        <v>1640</v>
      </c>
      <c r="E6" s="3" t="s">
        <v>1641</v>
      </c>
    </row>
    <row r="7" spans="1:5" ht="64" customHeight="1">
      <c r="A7" s="5" t="s">
        <v>1638</v>
      </c>
      <c r="B7" s="1" t="s">
        <v>1642</v>
      </c>
      <c r="C7" s="1" t="s">
        <v>1643</v>
      </c>
      <c r="D7" s="1" t="s">
        <v>1644</v>
      </c>
      <c r="E7" s="1" t="s">
        <v>1645</v>
      </c>
    </row>
    <row r="8" spans="1:5" ht="64" customHeight="1">
      <c r="A8" s="4" t="s">
        <v>1646</v>
      </c>
      <c r="B8" s="3" t="s">
        <v>1647</v>
      </c>
      <c r="C8" s="3" t="s">
        <v>1648</v>
      </c>
      <c r="D8" s="3" t="s">
        <v>1649</v>
      </c>
      <c r="E8" s="3" t="s">
        <v>1650</v>
      </c>
    </row>
    <row r="9" spans="1:5" ht="64" customHeight="1">
      <c r="A9" s="5" t="s">
        <v>1646</v>
      </c>
      <c r="B9" s="1" t="s">
        <v>1651</v>
      </c>
      <c r="C9" s="1" t="s">
        <v>1652</v>
      </c>
      <c r="D9" s="1" t="s">
        <v>1653</v>
      </c>
      <c r="E9" s="1" t="s">
        <v>1654</v>
      </c>
    </row>
    <row r="10" spans="1:5" ht="64" customHeight="1">
      <c r="A10" s="4" t="s">
        <v>1652</v>
      </c>
      <c r="B10" s="3" t="s">
        <v>1655</v>
      </c>
      <c r="C10" s="3" t="s">
        <v>1656</v>
      </c>
      <c r="D10" s="3" t="s">
        <v>1657</v>
      </c>
      <c r="E10" s="3" t="s">
        <v>1658</v>
      </c>
    </row>
    <row r="11" spans="1:5" ht="64" customHeight="1">
      <c r="A11" s="5" t="s">
        <v>1659</v>
      </c>
      <c r="B11" s="1" t="s">
        <v>1660</v>
      </c>
      <c r="C11" s="1" t="s">
        <v>1661</v>
      </c>
      <c r="D11" s="1" t="s">
        <v>1662</v>
      </c>
      <c r="E11" s="1" t="s">
        <v>1663</v>
      </c>
    </row>
    <row r="12" spans="1:5" ht="64" customHeight="1">
      <c r="A12" s="4" t="s">
        <v>1646</v>
      </c>
      <c r="B12" s="3" t="s">
        <v>1664</v>
      </c>
      <c r="C12" s="3" t="s">
        <v>1665</v>
      </c>
      <c r="D12" s="3" t="s">
        <v>1666</v>
      </c>
      <c r="E12" s="3" t="s">
        <v>1667</v>
      </c>
    </row>
    <row r="13" spans="1:5" ht="64" customHeight="1">
      <c r="A13" s="5" t="s">
        <v>1668</v>
      </c>
      <c r="B13" s="1" t="s">
        <v>1669</v>
      </c>
      <c r="C13" s="1" t="s">
        <v>1670</v>
      </c>
      <c r="D13" s="1" t="s">
        <v>1671</v>
      </c>
      <c r="E13" s="1" t="s">
        <v>1672</v>
      </c>
    </row>
    <row r="14" spans="1:5" ht="64" customHeight="1">
      <c r="A14" s="4" t="s">
        <v>1673</v>
      </c>
      <c r="B14" s="3" t="s">
        <v>1674</v>
      </c>
      <c r="C14" s="3" t="s">
        <v>1675</v>
      </c>
      <c r="D14" s="3" t="s">
        <v>1676</v>
      </c>
      <c r="E14" s="3" t="s">
        <v>1677</v>
      </c>
    </row>
    <row r="15" spans="1:5" ht="64" customHeight="1">
      <c r="A15" s="5" t="s">
        <v>1678</v>
      </c>
      <c r="B15" s="1" t="s">
        <v>1679</v>
      </c>
      <c r="C15" s="1" t="s">
        <v>1673</v>
      </c>
      <c r="D15" s="1" t="s">
        <v>1680</v>
      </c>
      <c r="E15" s="1" t="s">
        <v>1681</v>
      </c>
    </row>
    <row r="16" spans="1:5" ht="64" customHeight="1">
      <c r="A16" s="4" t="s">
        <v>1673</v>
      </c>
      <c r="B16" s="3" t="s">
        <v>1682</v>
      </c>
      <c r="C16" s="3" t="s">
        <v>1683</v>
      </c>
      <c r="D16" s="3" t="s">
        <v>1684</v>
      </c>
      <c r="E16" s="3" t="s">
        <v>1685</v>
      </c>
    </row>
    <row r="17" spans="1:5" ht="64" customHeight="1">
      <c r="A17" s="5" t="s">
        <v>1686</v>
      </c>
      <c r="B17" s="1" t="s">
        <v>1687</v>
      </c>
      <c r="C17" s="1" t="s">
        <v>1688</v>
      </c>
      <c r="D17" s="1" t="s">
        <v>1689</v>
      </c>
      <c r="E17" s="1" t="s">
        <v>1690</v>
      </c>
    </row>
    <row r="18" spans="1:5" ht="64" customHeight="1">
      <c r="A18" s="4" t="s">
        <v>1686</v>
      </c>
      <c r="B18" s="3" t="s">
        <v>1691</v>
      </c>
      <c r="C18" s="3" t="s">
        <v>1692</v>
      </c>
      <c r="D18" s="3" t="s">
        <v>1693</v>
      </c>
      <c r="E18" s="3" t="s">
        <v>1694</v>
      </c>
    </row>
    <row r="19" spans="1:5" ht="64" customHeight="1">
      <c r="A19" s="5" t="s">
        <v>1695</v>
      </c>
      <c r="B19" s="1" t="s">
        <v>1696</v>
      </c>
      <c r="C19" s="1" t="s">
        <v>1697</v>
      </c>
      <c r="D19" s="1" t="s">
        <v>1698</v>
      </c>
      <c r="E19" s="1" t="s">
        <v>1699</v>
      </c>
    </row>
    <row r="20" spans="1:5" ht="64" customHeight="1">
      <c r="A20" s="4" t="s">
        <v>1700</v>
      </c>
      <c r="B20" s="3" t="s">
        <v>1701</v>
      </c>
      <c r="C20" s="3" t="s">
        <v>1702</v>
      </c>
      <c r="D20" s="3" t="s">
        <v>1703</v>
      </c>
      <c r="E20" s="3" t="s">
        <v>1704</v>
      </c>
    </row>
    <row r="21" spans="1:5" ht="64" customHeight="1">
      <c r="A21" s="5" t="s">
        <v>1705</v>
      </c>
      <c r="B21" s="1" t="s">
        <v>1706</v>
      </c>
      <c r="C21" s="1" t="s">
        <v>1707</v>
      </c>
      <c r="D21" s="1" t="s">
        <v>1708</v>
      </c>
      <c r="E21" s="1" t="s">
        <v>1709</v>
      </c>
    </row>
    <row r="22" spans="1:5" ht="64" customHeight="1">
      <c r="A22" s="4" t="s">
        <v>1710</v>
      </c>
      <c r="B22" s="3" t="s">
        <v>1711</v>
      </c>
      <c r="C22" s="3" t="s">
        <v>1012</v>
      </c>
      <c r="D22" s="3" t="s">
        <v>1712</v>
      </c>
      <c r="E22" s="3" t="s">
        <v>1713</v>
      </c>
    </row>
    <row r="23" spans="1:5" ht="64" customHeight="1">
      <c r="A23" s="5" t="s">
        <v>1714</v>
      </c>
      <c r="B23" s="1" t="s">
        <v>1715</v>
      </c>
      <c r="C23" s="1" t="s">
        <v>1716</v>
      </c>
      <c r="D23" s="1" t="s">
        <v>1717</v>
      </c>
      <c r="E23" s="1" t="s">
        <v>1264</v>
      </c>
    </row>
  </sheetData>
  <mergeCells count="2">
    <mergeCell ref="A1:E1"/>
    <mergeCell ref="A2:E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selection activeCell="A2" sqref="A2:E3"/>
    </sheetView>
  </sheetViews>
  <sheetFormatPr baseColWidth="10" defaultColWidth="8.83203125" defaultRowHeight="14"/>
  <cols>
    <col min="1" max="1" width="24" customWidth="1"/>
    <col min="2" max="2" width="38" customWidth="1"/>
    <col min="3" max="3" width="40" customWidth="1"/>
    <col min="4" max="4" width="35" customWidth="1"/>
    <col min="5" max="5" width="33" customWidth="1"/>
  </cols>
  <sheetData>
    <row r="1" spans="1:5" ht="50.75" customHeight="1">
      <c r="A1" s="16" t="s">
        <v>1718</v>
      </c>
      <c r="B1" s="16"/>
      <c r="C1" s="16"/>
      <c r="D1" s="16"/>
      <c r="E1" s="16"/>
    </row>
    <row r="2" spans="1:5" ht="28" customHeight="1">
      <c r="A2" s="17" t="s">
        <v>2036</v>
      </c>
      <c r="B2" s="17"/>
      <c r="C2" s="17"/>
      <c r="D2" s="17"/>
      <c r="E2" s="17"/>
    </row>
    <row r="3" spans="1:5" ht="28" customHeight="1">
      <c r="A3" s="17"/>
      <c r="B3" s="17"/>
      <c r="C3" s="17"/>
      <c r="D3" s="17"/>
      <c r="E3" s="17"/>
    </row>
    <row r="4" spans="1:5" ht="13.25" customHeight="1">
      <c r="A4" s="1"/>
      <c r="B4" s="1"/>
      <c r="C4" s="1"/>
      <c r="D4" s="1"/>
      <c r="E4" s="1"/>
    </row>
    <row r="5" spans="1:5" ht="41.25" customHeight="1">
      <c r="A5" s="2" t="s">
        <v>1719</v>
      </c>
      <c r="B5" s="2" t="s">
        <v>1720</v>
      </c>
      <c r="C5" s="2" t="s">
        <v>1721</v>
      </c>
      <c r="D5" s="2" t="s">
        <v>1291</v>
      </c>
      <c r="E5" s="2" t="s">
        <v>1722</v>
      </c>
    </row>
    <row r="6" spans="1:5" ht="64" customHeight="1">
      <c r="A6" s="4" t="s">
        <v>1723</v>
      </c>
      <c r="B6" s="3" t="s">
        <v>1724</v>
      </c>
      <c r="C6" s="3" t="s">
        <v>1725</v>
      </c>
      <c r="D6" s="3" t="s">
        <v>1726</v>
      </c>
      <c r="E6" s="3" t="s">
        <v>1727</v>
      </c>
    </row>
    <row r="7" spans="1:5" ht="81.25" customHeight="1">
      <c r="A7" s="5" t="s">
        <v>198</v>
      </c>
      <c r="B7" s="1" t="s">
        <v>1728</v>
      </c>
      <c r="C7" s="1" t="s">
        <v>1729</v>
      </c>
      <c r="D7" s="1" t="s">
        <v>1654</v>
      </c>
      <c r="E7" s="1" t="s">
        <v>1730</v>
      </c>
    </row>
    <row r="8" spans="1:5" ht="81.25" customHeight="1">
      <c r="A8" s="4" t="s">
        <v>1731</v>
      </c>
      <c r="B8" s="3" t="s">
        <v>1732</v>
      </c>
      <c r="C8" s="3" t="s">
        <v>1733</v>
      </c>
      <c r="D8" s="3" t="s">
        <v>1734</v>
      </c>
      <c r="E8" s="3" t="s">
        <v>1735</v>
      </c>
    </row>
    <row r="9" spans="1:5" ht="81.25" customHeight="1">
      <c r="A9" s="5" t="s">
        <v>1736</v>
      </c>
      <c r="B9" s="1" t="s">
        <v>1737</v>
      </c>
      <c r="C9" s="1" t="s">
        <v>1738</v>
      </c>
      <c r="D9" s="1" t="s">
        <v>1739</v>
      </c>
      <c r="E9" s="1" t="s">
        <v>1740</v>
      </c>
    </row>
    <row r="10" spans="1:5" ht="64" customHeight="1">
      <c r="A10" s="4" t="s">
        <v>1741</v>
      </c>
      <c r="B10" s="3" t="s">
        <v>1742</v>
      </c>
      <c r="C10" s="3" t="s">
        <v>1743</v>
      </c>
      <c r="D10" s="3" t="s">
        <v>1744</v>
      </c>
      <c r="E10" s="3" t="s">
        <v>1745</v>
      </c>
    </row>
    <row r="11" spans="1:5" ht="81.25" customHeight="1">
      <c r="A11" s="5" t="s">
        <v>1746</v>
      </c>
      <c r="B11" s="1" t="s">
        <v>1747</v>
      </c>
      <c r="C11" s="1" t="s">
        <v>1748</v>
      </c>
      <c r="D11" s="1" t="s">
        <v>1749</v>
      </c>
      <c r="E11" s="1" t="s">
        <v>1750</v>
      </c>
    </row>
    <row r="12" spans="1:5" ht="64" customHeight="1">
      <c r="A12" s="4" t="s">
        <v>1751</v>
      </c>
      <c r="B12" s="3" t="s">
        <v>1752</v>
      </c>
      <c r="C12" s="3" t="s">
        <v>1753</v>
      </c>
      <c r="D12" s="3" t="s">
        <v>1308</v>
      </c>
      <c r="E12" s="3" t="s">
        <v>235</v>
      </c>
    </row>
    <row r="13" spans="1:5" ht="81.25" customHeight="1">
      <c r="A13" s="5" t="s">
        <v>1754</v>
      </c>
      <c r="B13" s="1" t="s">
        <v>1755</v>
      </c>
      <c r="C13" s="1" t="s">
        <v>1756</v>
      </c>
      <c r="D13" s="1" t="s">
        <v>1757</v>
      </c>
      <c r="E13" s="1" t="s">
        <v>1758</v>
      </c>
    </row>
    <row r="14" spans="1:5" ht="64" customHeight="1">
      <c r="A14" s="4" t="s">
        <v>1697</v>
      </c>
      <c r="B14" s="3" t="s">
        <v>1759</v>
      </c>
      <c r="C14" s="3" t="s">
        <v>1760</v>
      </c>
      <c r="D14" s="3" t="s">
        <v>1761</v>
      </c>
      <c r="E14" s="3" t="s">
        <v>1008</v>
      </c>
    </row>
    <row r="15" spans="1:5" ht="81.25" customHeight="1">
      <c r="A15" s="5" t="s">
        <v>1762</v>
      </c>
      <c r="B15" s="1" t="s">
        <v>1763</v>
      </c>
      <c r="C15" s="1" t="s">
        <v>1764</v>
      </c>
      <c r="D15" s="1" t="s">
        <v>1765</v>
      </c>
      <c r="E15" s="1" t="s">
        <v>1766</v>
      </c>
    </row>
    <row r="16" spans="1:5" ht="64" customHeight="1">
      <c r="A16" s="4" t="s">
        <v>1767</v>
      </c>
      <c r="B16" s="3" t="s">
        <v>1768</v>
      </c>
      <c r="C16" s="3" t="s">
        <v>1769</v>
      </c>
      <c r="D16" s="3" t="s">
        <v>1406</v>
      </c>
      <c r="E16" s="3" t="s">
        <v>1405</v>
      </c>
    </row>
    <row r="17" spans="1:5" ht="64" customHeight="1">
      <c r="A17" s="5" t="s">
        <v>1770</v>
      </c>
      <c r="B17" s="1" t="s">
        <v>1771</v>
      </c>
      <c r="C17" s="1" t="s">
        <v>1772</v>
      </c>
      <c r="D17" s="1" t="s">
        <v>1773</v>
      </c>
      <c r="E17" s="1" t="s">
        <v>1774</v>
      </c>
    </row>
    <row r="18" spans="1:5" ht="64" customHeight="1">
      <c r="A18" s="4" t="s">
        <v>1775</v>
      </c>
      <c r="B18" s="3" t="s">
        <v>1776</v>
      </c>
      <c r="C18" s="3" t="s">
        <v>1777</v>
      </c>
      <c r="D18" s="3" t="s">
        <v>1778</v>
      </c>
      <c r="E18" s="3" t="s">
        <v>1779</v>
      </c>
    </row>
  </sheetData>
  <mergeCells count="2">
    <mergeCell ref="A1:E1"/>
    <mergeCell ref="A2:E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topLeftCell="A11" workbookViewId="0">
      <selection sqref="A1:F1"/>
    </sheetView>
  </sheetViews>
  <sheetFormatPr baseColWidth="10" defaultColWidth="8.83203125" defaultRowHeight="14"/>
  <cols>
    <col min="1" max="1" width="12" customWidth="1"/>
    <col min="2" max="2" width="34" customWidth="1"/>
    <col min="3" max="3" width="40" customWidth="1"/>
    <col min="4" max="4" width="36" customWidth="1"/>
    <col min="5" max="5" width="29" customWidth="1"/>
    <col min="6" max="6" width="38" customWidth="1"/>
  </cols>
  <sheetData>
    <row r="1" spans="1:6" ht="50.75" customHeight="1">
      <c r="A1" s="16" t="s">
        <v>1780</v>
      </c>
      <c r="B1" s="16"/>
      <c r="C1" s="16"/>
      <c r="D1" s="16"/>
      <c r="E1" s="16"/>
      <c r="F1" s="16"/>
    </row>
    <row r="2" spans="1:6" ht="28" customHeight="1">
      <c r="A2" s="17" t="s">
        <v>1781</v>
      </c>
      <c r="B2" s="17"/>
      <c r="C2" s="17"/>
      <c r="D2" s="17"/>
      <c r="E2" s="17"/>
      <c r="F2" s="17"/>
    </row>
    <row r="3" spans="1:6" ht="28" customHeight="1">
      <c r="A3" s="17"/>
      <c r="B3" s="17"/>
      <c r="C3" s="17"/>
      <c r="D3" s="17"/>
      <c r="E3" s="17"/>
      <c r="F3" s="17"/>
    </row>
    <row r="4" spans="1:6" ht="13.25" customHeight="1">
      <c r="A4" s="1"/>
      <c r="B4" s="1"/>
      <c r="C4" s="1"/>
      <c r="D4" s="1"/>
      <c r="E4" s="1"/>
      <c r="F4" s="1"/>
    </row>
    <row r="5" spans="1:6" ht="41.25" customHeight="1">
      <c r="A5" s="2" t="s">
        <v>1782</v>
      </c>
      <c r="B5" s="2" t="s">
        <v>1783</v>
      </c>
      <c r="C5" s="2" t="s">
        <v>1784</v>
      </c>
      <c r="D5" s="2" t="s">
        <v>1291</v>
      </c>
      <c r="E5" s="2" t="s">
        <v>1785</v>
      </c>
      <c r="F5" s="2" t="s">
        <v>1786</v>
      </c>
    </row>
    <row r="6" spans="1:6" ht="64" customHeight="1">
      <c r="A6" s="4" t="s">
        <v>1787</v>
      </c>
      <c r="B6" s="3" t="s">
        <v>1788</v>
      </c>
      <c r="C6" s="3" t="s">
        <v>1789</v>
      </c>
      <c r="D6" s="3" t="s">
        <v>1790</v>
      </c>
      <c r="E6" s="3" t="s">
        <v>1791</v>
      </c>
      <c r="F6" s="3" t="s">
        <v>1792</v>
      </c>
    </row>
    <row r="7" spans="1:6" ht="64" customHeight="1">
      <c r="A7" s="5" t="s">
        <v>1793</v>
      </c>
      <c r="B7" s="1" t="s">
        <v>1794</v>
      </c>
      <c r="C7" s="1" t="s">
        <v>1795</v>
      </c>
      <c r="D7" s="1" t="s">
        <v>1796</v>
      </c>
      <c r="E7" s="1" t="s">
        <v>1797</v>
      </c>
      <c r="F7" s="1" t="s">
        <v>1798</v>
      </c>
    </row>
    <row r="8" spans="1:6" ht="64" customHeight="1">
      <c r="A8" s="4" t="s">
        <v>1799</v>
      </c>
      <c r="B8" s="3" t="s">
        <v>1800</v>
      </c>
      <c r="C8" s="3" t="s">
        <v>1801</v>
      </c>
      <c r="D8" s="3" t="s">
        <v>1802</v>
      </c>
      <c r="E8" s="3" t="s">
        <v>1803</v>
      </c>
      <c r="F8" s="3" t="s">
        <v>1804</v>
      </c>
    </row>
    <row r="9" spans="1:6" ht="64" customHeight="1">
      <c r="A9" s="5" t="s">
        <v>1805</v>
      </c>
      <c r="B9" s="1" t="s">
        <v>1806</v>
      </c>
      <c r="C9" s="1" t="s">
        <v>1807</v>
      </c>
      <c r="D9" s="1" t="s">
        <v>1808</v>
      </c>
      <c r="E9" s="1" t="s">
        <v>1809</v>
      </c>
      <c r="F9" s="1" t="s">
        <v>1810</v>
      </c>
    </row>
    <row r="10" spans="1:6" ht="64" customHeight="1">
      <c r="A10" s="4" t="s">
        <v>1811</v>
      </c>
      <c r="B10" s="3" t="s">
        <v>1812</v>
      </c>
      <c r="C10" s="3" t="s">
        <v>1813</v>
      </c>
      <c r="D10" s="3" t="s">
        <v>1814</v>
      </c>
      <c r="E10" s="3" t="s">
        <v>1815</v>
      </c>
      <c r="F10" s="3" t="s">
        <v>1816</v>
      </c>
    </row>
    <row r="11" spans="1:6" ht="64" customHeight="1">
      <c r="A11" s="5" t="s">
        <v>1817</v>
      </c>
      <c r="B11" s="1" t="s">
        <v>1818</v>
      </c>
      <c r="C11" s="1" t="s">
        <v>1819</v>
      </c>
      <c r="D11" s="1" t="s">
        <v>1820</v>
      </c>
      <c r="E11" s="1" t="s">
        <v>1821</v>
      </c>
      <c r="F11" s="1" t="s">
        <v>1822</v>
      </c>
    </row>
    <row r="12" spans="1:6" ht="64" customHeight="1">
      <c r="A12" s="4" t="s">
        <v>1823</v>
      </c>
      <c r="B12" s="3" t="s">
        <v>1824</v>
      </c>
      <c r="C12" s="3" t="s">
        <v>1825</v>
      </c>
      <c r="D12" s="3" t="s">
        <v>1704</v>
      </c>
      <c r="E12" s="3" t="s">
        <v>1826</v>
      </c>
      <c r="F12" s="3" t="s">
        <v>1827</v>
      </c>
    </row>
    <row r="13" spans="1:6" ht="64" customHeight="1">
      <c r="A13" s="5" t="s">
        <v>1828</v>
      </c>
      <c r="B13" s="1" t="s">
        <v>1829</v>
      </c>
      <c r="C13" s="1" t="s">
        <v>1830</v>
      </c>
      <c r="D13" s="1" t="s">
        <v>1831</v>
      </c>
      <c r="E13" s="1" t="s">
        <v>1832</v>
      </c>
      <c r="F13" s="1" t="s">
        <v>1833</v>
      </c>
    </row>
    <row r="14" spans="1:6" ht="64" customHeight="1">
      <c r="A14" s="4" t="s">
        <v>1834</v>
      </c>
      <c r="B14" s="3" t="s">
        <v>1835</v>
      </c>
      <c r="C14" s="3" t="s">
        <v>1836</v>
      </c>
      <c r="D14" s="3" t="s">
        <v>1837</v>
      </c>
      <c r="E14" s="3" t="s">
        <v>1838</v>
      </c>
      <c r="F14" s="3" t="s">
        <v>1839</v>
      </c>
    </row>
    <row r="15" spans="1:6" ht="64" customHeight="1">
      <c r="A15" s="5" t="s">
        <v>1840</v>
      </c>
      <c r="B15" s="1" t="s">
        <v>1841</v>
      </c>
      <c r="C15" s="1" t="s">
        <v>1842</v>
      </c>
      <c r="D15" s="1" t="s">
        <v>1843</v>
      </c>
      <c r="E15" s="1" t="s">
        <v>1844</v>
      </c>
      <c r="F15" s="1" t="s">
        <v>1845</v>
      </c>
    </row>
    <row r="16" spans="1:6" ht="64" customHeight="1">
      <c r="A16" s="4" t="s">
        <v>1846</v>
      </c>
      <c r="B16" s="3" t="s">
        <v>1847</v>
      </c>
      <c r="C16" s="3" t="s">
        <v>1848</v>
      </c>
      <c r="D16" s="3" t="s">
        <v>1849</v>
      </c>
      <c r="E16" s="3" t="s">
        <v>1850</v>
      </c>
      <c r="F16" s="3" t="s">
        <v>1851</v>
      </c>
    </row>
    <row r="17" spans="1:6" ht="81.25" customHeight="1">
      <c r="A17" s="5" t="s">
        <v>1852</v>
      </c>
      <c r="B17" s="1" t="s">
        <v>1853</v>
      </c>
      <c r="C17" s="1" t="s">
        <v>1854</v>
      </c>
      <c r="D17" s="1" t="s">
        <v>1855</v>
      </c>
      <c r="E17" s="1" t="s">
        <v>1856</v>
      </c>
      <c r="F17" s="1" t="s">
        <v>1857</v>
      </c>
    </row>
    <row r="18" spans="1:6" ht="64" customHeight="1">
      <c r="A18" s="4" t="s">
        <v>1858</v>
      </c>
      <c r="B18" s="3" t="s">
        <v>1859</v>
      </c>
      <c r="C18" s="3" t="s">
        <v>1860</v>
      </c>
      <c r="D18" s="3" t="s">
        <v>1861</v>
      </c>
      <c r="E18" s="3" t="s">
        <v>1862</v>
      </c>
      <c r="F18" s="3" t="s">
        <v>1863</v>
      </c>
    </row>
    <row r="19" spans="1:6" ht="64" customHeight="1">
      <c r="A19" s="5" t="s">
        <v>1864</v>
      </c>
      <c r="B19" s="1" t="s">
        <v>1865</v>
      </c>
      <c r="C19" s="1" t="s">
        <v>1866</v>
      </c>
      <c r="D19" s="1" t="s">
        <v>1867</v>
      </c>
      <c r="E19" s="1" t="s">
        <v>1868</v>
      </c>
      <c r="F19" s="1" t="s">
        <v>1869</v>
      </c>
    </row>
    <row r="20" spans="1:6" ht="64" customHeight="1">
      <c r="A20" s="4" t="s">
        <v>1870</v>
      </c>
      <c r="B20" s="3" t="s">
        <v>1871</v>
      </c>
      <c r="C20" s="3" t="s">
        <v>1872</v>
      </c>
      <c r="D20" s="3" t="s">
        <v>1778</v>
      </c>
      <c r="E20" s="3" t="s">
        <v>1873</v>
      </c>
      <c r="F20" s="3" t="s">
        <v>1874</v>
      </c>
    </row>
  </sheetData>
  <mergeCells count="2">
    <mergeCell ref="A1:F1"/>
    <mergeCell ref="A2:F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selection sqref="A1:G1"/>
    </sheetView>
  </sheetViews>
  <sheetFormatPr baseColWidth="10" defaultColWidth="8.83203125" defaultRowHeight="14"/>
  <cols>
    <col min="1" max="1" width="12" customWidth="1"/>
    <col min="2" max="2" width="25" customWidth="1"/>
    <col min="3" max="3" width="40" customWidth="1"/>
    <col min="4" max="4" width="37" customWidth="1"/>
    <col min="5" max="5" width="36" customWidth="1"/>
    <col min="6" max="6" width="37" customWidth="1"/>
    <col min="7" max="7" width="32" customWidth="1"/>
  </cols>
  <sheetData>
    <row r="1" spans="1:7" ht="50.75" customHeight="1">
      <c r="A1" s="16" t="s">
        <v>1875</v>
      </c>
      <c r="B1" s="16"/>
      <c r="C1" s="16"/>
      <c r="D1" s="16"/>
      <c r="E1" s="16"/>
      <c r="F1" s="16"/>
      <c r="G1" s="16"/>
    </row>
    <row r="2" spans="1:7" ht="28" customHeight="1">
      <c r="A2" s="17" t="s">
        <v>1876</v>
      </c>
      <c r="B2" s="17"/>
      <c r="C2" s="17"/>
      <c r="D2" s="17"/>
      <c r="E2" s="17"/>
      <c r="F2" s="17"/>
      <c r="G2" s="17"/>
    </row>
    <row r="3" spans="1:7" ht="28" customHeight="1">
      <c r="A3" s="17"/>
      <c r="B3" s="17"/>
      <c r="C3" s="17"/>
      <c r="D3" s="17"/>
      <c r="E3" s="17"/>
      <c r="F3" s="17"/>
      <c r="G3" s="17"/>
    </row>
    <row r="4" spans="1:7" ht="13.25" customHeight="1">
      <c r="A4" s="1"/>
      <c r="B4" s="1"/>
      <c r="C4" s="1"/>
      <c r="D4" s="1"/>
      <c r="E4" s="1"/>
      <c r="F4" s="1"/>
      <c r="G4" s="1"/>
    </row>
    <row r="5" spans="1:7" ht="41.25" customHeight="1">
      <c r="A5" s="2" t="s">
        <v>1877</v>
      </c>
      <c r="B5" s="2" t="s">
        <v>1878</v>
      </c>
      <c r="C5" s="2" t="s">
        <v>1879</v>
      </c>
      <c r="D5" s="2" t="s">
        <v>1880</v>
      </c>
      <c r="E5" s="2" t="s">
        <v>1881</v>
      </c>
      <c r="F5" s="2" t="s">
        <v>1882</v>
      </c>
      <c r="G5" s="2" t="s">
        <v>1291</v>
      </c>
    </row>
    <row r="6" spans="1:7" ht="64" customHeight="1">
      <c r="A6" s="4" t="s">
        <v>1883</v>
      </c>
      <c r="B6" s="3" t="s">
        <v>1884</v>
      </c>
      <c r="C6" s="3" t="s">
        <v>1885</v>
      </c>
      <c r="D6" s="3" t="s">
        <v>1886</v>
      </c>
      <c r="E6" s="3" t="s">
        <v>1887</v>
      </c>
      <c r="F6" s="3" t="s">
        <v>1888</v>
      </c>
      <c r="G6" s="3" t="s">
        <v>1667</v>
      </c>
    </row>
    <row r="7" spans="1:7" ht="64" customHeight="1">
      <c r="A7" s="5" t="s">
        <v>1889</v>
      </c>
      <c r="B7" s="1" t="s">
        <v>1890</v>
      </c>
      <c r="C7" s="1" t="s">
        <v>1891</v>
      </c>
      <c r="D7" s="1" t="s">
        <v>1892</v>
      </c>
      <c r="E7" s="1" t="s">
        <v>1893</v>
      </c>
      <c r="F7" s="1" t="s">
        <v>1894</v>
      </c>
      <c r="G7" s="1" t="s">
        <v>1895</v>
      </c>
    </row>
    <row r="8" spans="1:7" ht="64" customHeight="1">
      <c r="A8" s="4" t="s">
        <v>1896</v>
      </c>
      <c r="B8" s="3" t="s">
        <v>1897</v>
      </c>
      <c r="C8" s="3" t="s">
        <v>1898</v>
      </c>
      <c r="D8" s="3" t="s">
        <v>1899</v>
      </c>
      <c r="E8" s="3" t="s">
        <v>1900</v>
      </c>
      <c r="F8" s="3" t="s">
        <v>1901</v>
      </c>
      <c r="G8" s="3" t="s">
        <v>1902</v>
      </c>
    </row>
    <row r="9" spans="1:7" ht="64" customHeight="1">
      <c r="A9" s="5" t="s">
        <v>1903</v>
      </c>
      <c r="B9" s="1" t="s">
        <v>1904</v>
      </c>
      <c r="C9" s="1" t="s">
        <v>1905</v>
      </c>
      <c r="D9" s="1" t="s">
        <v>1906</v>
      </c>
      <c r="E9" s="1" t="s">
        <v>1907</v>
      </c>
      <c r="F9" s="1" t="s">
        <v>1908</v>
      </c>
      <c r="G9" s="1" t="s">
        <v>1909</v>
      </c>
    </row>
    <row r="10" spans="1:7" ht="64" customHeight="1">
      <c r="A10" s="4" t="s">
        <v>1910</v>
      </c>
      <c r="B10" s="3" t="s">
        <v>1911</v>
      </c>
      <c r="C10" s="3" t="s">
        <v>1912</v>
      </c>
      <c r="D10" s="3" t="s">
        <v>1913</v>
      </c>
      <c r="E10" s="3" t="s">
        <v>1914</v>
      </c>
      <c r="F10" s="3" t="s">
        <v>1915</v>
      </c>
      <c r="G10" s="3" t="s">
        <v>1916</v>
      </c>
    </row>
    <row r="11" spans="1:7" ht="64" customHeight="1">
      <c r="A11" s="5" t="s">
        <v>1917</v>
      </c>
      <c r="B11" s="1" t="s">
        <v>1918</v>
      </c>
      <c r="C11" s="1" t="s">
        <v>1919</v>
      </c>
      <c r="D11" s="1" t="s">
        <v>1920</v>
      </c>
      <c r="E11" s="1" t="s">
        <v>1921</v>
      </c>
      <c r="F11" s="1" t="s">
        <v>1922</v>
      </c>
      <c r="G11" s="1" t="s">
        <v>1923</v>
      </c>
    </row>
  </sheetData>
  <mergeCells count="2">
    <mergeCell ref="A1:G1"/>
    <mergeCell ref="A2:G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topLeftCell="A6" workbookViewId="0">
      <selection activeCell="I9" sqref="I9"/>
    </sheetView>
  </sheetViews>
  <sheetFormatPr baseColWidth="10" defaultColWidth="8.83203125" defaultRowHeight="14"/>
  <cols>
    <col min="1" max="1" width="12" customWidth="1"/>
    <col min="2" max="2" width="28" customWidth="1"/>
    <col min="3" max="3" width="30" customWidth="1"/>
    <col min="4" max="5" width="40" customWidth="1"/>
    <col min="6" max="6" width="38" customWidth="1"/>
    <col min="7" max="7" width="37" customWidth="1"/>
  </cols>
  <sheetData>
    <row r="1" spans="1:7" ht="50.75" customHeight="1">
      <c r="A1" s="16" t="s">
        <v>1924</v>
      </c>
      <c r="B1" s="16"/>
      <c r="C1" s="16"/>
      <c r="D1" s="16"/>
      <c r="E1" s="16"/>
      <c r="F1" s="16"/>
      <c r="G1" s="16"/>
    </row>
    <row r="2" spans="1:7" ht="28" customHeight="1">
      <c r="A2" s="17" t="s">
        <v>2037</v>
      </c>
      <c r="B2" s="17"/>
      <c r="C2" s="17"/>
      <c r="D2" s="17"/>
      <c r="E2" s="17"/>
      <c r="F2" s="17"/>
      <c r="G2" s="17"/>
    </row>
    <row r="3" spans="1:7" ht="28" customHeight="1">
      <c r="A3" s="17"/>
      <c r="B3" s="17"/>
      <c r="C3" s="17"/>
      <c r="D3" s="17"/>
      <c r="E3" s="17"/>
      <c r="F3" s="17"/>
      <c r="G3" s="17"/>
    </row>
    <row r="4" spans="1:7" ht="13.25" customHeight="1">
      <c r="A4" s="1"/>
      <c r="B4" s="1"/>
      <c r="C4" s="1"/>
      <c r="D4" s="1"/>
      <c r="E4" s="1"/>
      <c r="F4" s="1"/>
      <c r="G4" s="1"/>
    </row>
    <row r="5" spans="1:7" ht="41.25" customHeight="1">
      <c r="A5" s="2" t="s">
        <v>1925</v>
      </c>
      <c r="B5" s="2" t="s">
        <v>1926</v>
      </c>
      <c r="C5" s="2" t="s">
        <v>1637</v>
      </c>
      <c r="D5" s="2" t="s">
        <v>1927</v>
      </c>
      <c r="E5" s="2" t="s">
        <v>1928</v>
      </c>
      <c r="F5" s="2" t="s">
        <v>1929</v>
      </c>
      <c r="G5" s="2" t="s">
        <v>1786</v>
      </c>
    </row>
    <row r="6" spans="1:7" ht="64" customHeight="1">
      <c r="A6" s="4" t="s">
        <v>1930</v>
      </c>
      <c r="B6" s="3" t="s">
        <v>1931</v>
      </c>
      <c r="C6" s="3" t="s">
        <v>1932</v>
      </c>
      <c r="D6" s="3" t="s">
        <v>1933</v>
      </c>
      <c r="E6" s="3" t="s">
        <v>1934</v>
      </c>
      <c r="F6" s="3" t="s">
        <v>1935</v>
      </c>
      <c r="G6" s="3" t="s">
        <v>1936</v>
      </c>
    </row>
    <row r="7" spans="1:7" ht="64" customHeight="1">
      <c r="A7" s="5" t="s">
        <v>1937</v>
      </c>
      <c r="B7" s="1" t="s">
        <v>1938</v>
      </c>
      <c r="C7" s="1" t="s">
        <v>1356</v>
      </c>
      <c r="D7" s="1" t="s">
        <v>1939</v>
      </c>
      <c r="E7" s="1" t="s">
        <v>1940</v>
      </c>
      <c r="F7" s="1" t="s">
        <v>1941</v>
      </c>
      <c r="G7" s="1" t="s">
        <v>1942</v>
      </c>
    </row>
    <row r="8" spans="1:7" ht="64" customHeight="1">
      <c r="A8" s="4" t="s">
        <v>1943</v>
      </c>
      <c r="B8" s="3" t="s">
        <v>1944</v>
      </c>
      <c r="C8" s="3" t="s">
        <v>1945</v>
      </c>
      <c r="D8" s="3" t="s">
        <v>1946</v>
      </c>
      <c r="E8" s="3" t="s">
        <v>1947</v>
      </c>
      <c r="F8" s="3" t="s">
        <v>1948</v>
      </c>
      <c r="G8" s="3" t="s">
        <v>1949</v>
      </c>
    </row>
    <row r="9" spans="1:7" ht="64" customHeight="1">
      <c r="A9" s="5" t="s">
        <v>1950</v>
      </c>
      <c r="B9" s="1" t="s">
        <v>1951</v>
      </c>
      <c r="C9" s="1" t="s">
        <v>1952</v>
      </c>
      <c r="D9" s="1" t="s">
        <v>1953</v>
      </c>
      <c r="E9" s="1" t="s">
        <v>1954</v>
      </c>
      <c r="F9" s="1" t="s">
        <v>1955</v>
      </c>
      <c r="G9" s="1" t="s">
        <v>1956</v>
      </c>
    </row>
    <row r="10" spans="1:7" ht="64" customHeight="1">
      <c r="A10" s="4" t="s">
        <v>1957</v>
      </c>
      <c r="B10" s="3" t="s">
        <v>1958</v>
      </c>
      <c r="C10" s="3" t="s">
        <v>1065</v>
      </c>
      <c r="D10" s="3" t="s">
        <v>1959</v>
      </c>
      <c r="E10" s="3" t="s">
        <v>1960</v>
      </c>
      <c r="F10" s="3" t="s">
        <v>1961</v>
      </c>
      <c r="G10" s="3" t="s">
        <v>1962</v>
      </c>
    </row>
    <row r="11" spans="1:7" ht="64" customHeight="1">
      <c r="A11" s="5" t="s">
        <v>1963</v>
      </c>
      <c r="B11" s="1" t="s">
        <v>1964</v>
      </c>
      <c r="C11" s="1" t="s">
        <v>1965</v>
      </c>
      <c r="D11" s="1" t="s">
        <v>1966</v>
      </c>
      <c r="E11" s="1" t="s">
        <v>1967</v>
      </c>
      <c r="F11" s="1" t="s">
        <v>1968</v>
      </c>
      <c r="G11" s="1" t="s">
        <v>1969</v>
      </c>
    </row>
    <row r="12" spans="1:7" ht="64" customHeight="1">
      <c r="A12" s="4" t="s">
        <v>1970</v>
      </c>
      <c r="B12" s="3" t="s">
        <v>1971</v>
      </c>
      <c r="C12" s="3" t="s">
        <v>1972</v>
      </c>
      <c r="D12" s="3" t="s">
        <v>1973</v>
      </c>
      <c r="E12" s="3" t="s">
        <v>1974</v>
      </c>
      <c r="F12" s="3" t="s">
        <v>1975</v>
      </c>
      <c r="G12" s="3" t="s">
        <v>1976</v>
      </c>
    </row>
    <row r="13" spans="1:7" ht="64" customHeight="1">
      <c r="A13" s="5" t="s">
        <v>1977</v>
      </c>
      <c r="B13" s="1" t="s">
        <v>1978</v>
      </c>
      <c r="C13" s="1" t="s">
        <v>1979</v>
      </c>
      <c r="D13" s="1" t="s">
        <v>1980</v>
      </c>
      <c r="E13" s="1" t="s">
        <v>1981</v>
      </c>
      <c r="F13" s="1" t="s">
        <v>1982</v>
      </c>
      <c r="G13" s="1" t="s">
        <v>1983</v>
      </c>
    </row>
    <row r="14" spans="1:7" ht="64" customHeight="1">
      <c r="A14" s="4" t="s">
        <v>1984</v>
      </c>
      <c r="B14" s="3" t="s">
        <v>1985</v>
      </c>
      <c r="C14" s="3" t="s">
        <v>1348</v>
      </c>
      <c r="D14" s="3" t="s">
        <v>1986</v>
      </c>
      <c r="E14" s="3" t="s">
        <v>1987</v>
      </c>
      <c r="F14" s="3" t="s">
        <v>1988</v>
      </c>
      <c r="G14" s="3" t="s">
        <v>1989</v>
      </c>
    </row>
    <row r="15" spans="1:7" ht="64" customHeight="1">
      <c r="A15" s="5" t="s">
        <v>1990</v>
      </c>
      <c r="B15" s="1" t="s">
        <v>1991</v>
      </c>
      <c r="C15" s="1" t="s">
        <v>1992</v>
      </c>
      <c r="D15" s="1" t="s">
        <v>1993</v>
      </c>
      <c r="E15" s="1" t="s">
        <v>1994</v>
      </c>
      <c r="F15" s="1" t="s">
        <v>1995</v>
      </c>
      <c r="G15" s="1" t="s">
        <v>1996</v>
      </c>
    </row>
  </sheetData>
  <mergeCells count="2">
    <mergeCell ref="A1:G1"/>
    <mergeCell ref="A2:G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>
      <selection sqref="A1:F1"/>
    </sheetView>
  </sheetViews>
  <sheetFormatPr baseColWidth="10" defaultColWidth="8.83203125" defaultRowHeight="14"/>
  <cols>
    <col min="1" max="1" width="17" customWidth="1"/>
    <col min="2" max="2" width="25" customWidth="1"/>
    <col min="3" max="4" width="40" customWidth="1"/>
    <col min="5" max="5" width="25" customWidth="1"/>
    <col min="6" max="6" width="40" customWidth="1"/>
  </cols>
  <sheetData>
    <row r="1" spans="1:6" ht="50.75" customHeight="1">
      <c r="A1" s="16" t="s">
        <v>1997</v>
      </c>
      <c r="B1" s="16"/>
      <c r="C1" s="16"/>
      <c r="D1" s="16"/>
      <c r="E1" s="16"/>
      <c r="F1" s="16"/>
    </row>
    <row r="2" spans="1:6" ht="28" customHeight="1">
      <c r="A2" s="17" t="s">
        <v>1998</v>
      </c>
      <c r="B2" s="17"/>
      <c r="C2" s="17"/>
      <c r="D2" s="17"/>
      <c r="E2" s="17"/>
      <c r="F2" s="17"/>
    </row>
    <row r="3" spans="1:6" ht="28" customHeight="1">
      <c r="A3" s="17"/>
      <c r="B3" s="17"/>
      <c r="C3" s="17"/>
      <c r="D3" s="17"/>
      <c r="E3" s="17"/>
      <c r="F3" s="17"/>
    </row>
    <row r="4" spans="1:6" ht="13.25" customHeight="1">
      <c r="A4" s="1"/>
      <c r="B4" s="1"/>
      <c r="C4" s="1"/>
      <c r="D4" s="1"/>
      <c r="E4" s="1"/>
      <c r="F4" s="1"/>
    </row>
    <row r="5" spans="1:6" ht="41.25" customHeight="1">
      <c r="A5" s="2" t="s">
        <v>1719</v>
      </c>
      <c r="B5" s="2" t="s">
        <v>50</v>
      </c>
      <c r="C5" s="2" t="s">
        <v>1999</v>
      </c>
      <c r="D5" s="2" t="s">
        <v>2000</v>
      </c>
      <c r="E5" s="2" t="s">
        <v>2001</v>
      </c>
      <c r="F5" s="2" t="s">
        <v>2002</v>
      </c>
    </row>
    <row r="6" spans="1:6" ht="64" customHeight="1">
      <c r="A6" s="4" t="s">
        <v>2003</v>
      </c>
      <c r="B6" s="3" t="s">
        <v>2004</v>
      </c>
      <c r="C6" s="3" t="s">
        <v>2005</v>
      </c>
      <c r="D6" s="3" t="s">
        <v>2006</v>
      </c>
      <c r="E6" s="3" t="s">
        <v>2007</v>
      </c>
      <c r="F6" s="3" t="s">
        <v>2008</v>
      </c>
    </row>
    <row r="7" spans="1:6" ht="64" customHeight="1">
      <c r="A7" s="5" t="s">
        <v>2009</v>
      </c>
      <c r="B7" s="1" t="s">
        <v>2010</v>
      </c>
      <c r="C7" s="1" t="s">
        <v>2011</v>
      </c>
      <c r="D7" s="1" t="s">
        <v>2012</v>
      </c>
      <c r="E7" s="1" t="s">
        <v>1903</v>
      </c>
      <c r="F7" s="1" t="s">
        <v>2013</v>
      </c>
    </row>
    <row r="8" spans="1:6" ht="64" customHeight="1">
      <c r="A8" s="4" t="s">
        <v>2014</v>
      </c>
      <c r="B8" s="3" t="s">
        <v>2015</v>
      </c>
      <c r="C8" s="3" t="s">
        <v>2016</v>
      </c>
      <c r="D8" s="3" t="s">
        <v>2017</v>
      </c>
      <c r="E8" s="3" t="s">
        <v>1910</v>
      </c>
      <c r="F8" s="3" t="s">
        <v>2018</v>
      </c>
    </row>
    <row r="9" spans="1:6" ht="64" customHeight="1">
      <c r="A9" s="5" t="s">
        <v>2019</v>
      </c>
      <c r="B9" s="1" t="s">
        <v>2020</v>
      </c>
      <c r="C9" s="1" t="s">
        <v>2021</v>
      </c>
      <c r="D9" s="1" t="s">
        <v>2022</v>
      </c>
      <c r="E9" s="1" t="s">
        <v>2023</v>
      </c>
      <c r="F9" s="1" t="s">
        <v>2024</v>
      </c>
    </row>
    <row r="10" spans="1:6" ht="64" customHeight="1">
      <c r="A10" s="4" t="s">
        <v>2019</v>
      </c>
      <c r="B10" s="3" t="s">
        <v>2025</v>
      </c>
      <c r="C10" s="3" t="s">
        <v>2026</v>
      </c>
      <c r="D10" s="3" t="s">
        <v>2027</v>
      </c>
      <c r="E10" s="3" t="s">
        <v>2028</v>
      </c>
      <c r="F10" s="3" t="s">
        <v>2029</v>
      </c>
    </row>
    <row r="11" spans="1:6" ht="64" customHeight="1">
      <c r="A11" s="5" t="s">
        <v>1786</v>
      </c>
      <c r="B11" s="1" t="s">
        <v>2030</v>
      </c>
      <c r="C11" s="1" t="s">
        <v>2031</v>
      </c>
      <c r="D11" s="1" t="s">
        <v>2032</v>
      </c>
      <c r="E11" s="1" t="s">
        <v>2033</v>
      </c>
      <c r="F11" s="1" t="s">
        <v>2034</v>
      </c>
    </row>
  </sheetData>
  <mergeCells count="2">
    <mergeCell ref="A1:F1"/>
    <mergeCell ref="A2:F3"/>
  </mergeCells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00_읽는순서</vt:lpstr>
      <vt:lpstr>01_근거대장</vt:lpstr>
      <vt:lpstr>02_변수사전</vt:lpstr>
      <vt:lpstr>03_규칙대장</vt:lpstr>
      <vt:lpstr>04_사건학습</vt:lpstr>
      <vt:lpstr>05_관계참고</vt:lpstr>
      <vt:lpstr>06_페르소나정리</vt:lpstr>
      <vt:lpstr>07_질문연결</vt:lpstr>
      <vt:lpstr>08_상황입력</vt:lpstr>
      <vt:lpstr>09_데이터연계</vt:lpstr>
      <vt:lpstr>10_활용예시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나은 김</cp:lastModifiedBy>
  <dcterms:modified xsi:type="dcterms:W3CDTF">2026-10-03T04:50:55Z</dcterms:modified>
</cp:coreProperties>
</file>